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untuagr-my.sharepoint.com/personal/nfrilingou_epu_ntua_gr/Documents/Papers/ERL/Study 10/Results/R1/FF55_NECP/data/"/>
    </mc:Choice>
  </mc:AlternateContent>
  <xr:revisionPtr revIDLastSave="3" documentId="13_ncr:1_{63467866-CB01-433D-AC3E-DA3B626900E6}" xr6:coauthVersionLast="47" xr6:coauthVersionMax="47" xr10:uidLastSave="{EFD80BA4-B9A0-48E6-875E-0F891E91DA48}"/>
  <bookViews>
    <workbookView xWindow="-28920" yWindow="-120" windowWidth="29040" windowHeight="15720" activeTab="6" xr2:uid="{C81989DE-E36C-44FC-AB58-3905D35DA5E3}"/>
  </bookViews>
  <sheets>
    <sheet name="Fig 2A" sheetId="1" r:id="rId1"/>
    <sheet name="Fig 2B" sheetId="2" r:id="rId2"/>
    <sheet name="Fig 3A" sheetId="3" r:id="rId3"/>
    <sheet name="Fig 3B" sheetId="4" r:id="rId4"/>
    <sheet name="Fig 4A" sheetId="5" r:id="rId5"/>
    <sheet name="Fig 4B" sheetId="6" r:id="rId6"/>
    <sheet name="Fig S2" sheetId="7" r:id="rId7"/>
  </sheets>
  <definedNames>
    <definedName name="_xlnm._FilterDatabase" localSheetId="6" hidden="1">'Fig S2'!$A$1:$L$113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7" l="1"/>
  <c r="E113" i="7"/>
  <c r="F113" i="7"/>
  <c r="G113" i="7"/>
  <c r="H113" i="7"/>
  <c r="I113" i="7"/>
  <c r="J113" i="7"/>
  <c r="K113" i="7"/>
  <c r="L113" i="7"/>
  <c r="C113" i="7"/>
  <c r="L85" i="7"/>
  <c r="K85" i="7"/>
  <c r="J85" i="7"/>
  <c r="I85" i="7"/>
  <c r="H85" i="7"/>
  <c r="G85" i="7"/>
  <c r="F85" i="7"/>
  <c r="E85" i="7"/>
  <c r="D85" i="7"/>
  <c r="C85" i="7"/>
  <c r="D57" i="7"/>
  <c r="E57" i="7"/>
  <c r="F57" i="7"/>
  <c r="G57" i="7"/>
  <c r="H57" i="7"/>
  <c r="I57" i="7"/>
  <c r="J57" i="7"/>
  <c r="K57" i="7"/>
  <c r="L57" i="7"/>
  <c r="C57" i="7"/>
  <c r="D29" i="7"/>
  <c r="E29" i="7"/>
  <c r="F29" i="7"/>
  <c r="G29" i="7"/>
  <c r="H29" i="7"/>
  <c r="I29" i="7"/>
  <c r="J29" i="7"/>
  <c r="K29" i="7"/>
  <c r="L29" i="7"/>
  <c r="C29" i="7"/>
</calcChain>
</file>

<file path=xl/sharedStrings.xml><?xml version="1.0" encoding="utf-8"?>
<sst xmlns="http://schemas.openxmlformats.org/spreadsheetml/2006/main" count="829" uniqueCount="67">
  <si>
    <t>Electricity</t>
  </si>
  <si>
    <t>Buildings</t>
  </si>
  <si>
    <t>Industry</t>
  </si>
  <si>
    <t>Cement</t>
  </si>
  <si>
    <t>Transportation</t>
  </si>
  <si>
    <t>Intl Bunkers</t>
  </si>
  <si>
    <t>Fugitive Emissions</t>
  </si>
  <si>
    <t>Sector</t>
  </si>
  <si>
    <t>Scenario</t>
  </si>
  <si>
    <t>FF55_POLICY</t>
  </si>
  <si>
    <t>NECP_POLICY</t>
  </si>
  <si>
    <t>Historical</t>
  </si>
  <si>
    <t>Germany</t>
  </si>
  <si>
    <t>France</t>
  </si>
  <si>
    <t>Netherlands</t>
  </si>
  <si>
    <t>Belgium</t>
  </si>
  <si>
    <t>Luxembourg</t>
  </si>
  <si>
    <t>Austria</t>
  </si>
  <si>
    <t>Sweden</t>
  </si>
  <si>
    <t>Finland</t>
  </si>
  <si>
    <t>Denmark</t>
  </si>
  <si>
    <t>Ireland</t>
  </si>
  <si>
    <t>Latvia</t>
  </si>
  <si>
    <t>Lithuania</t>
  </si>
  <si>
    <t>Estonia</t>
  </si>
  <si>
    <t>Hungary</t>
  </si>
  <si>
    <t>Poland</t>
  </si>
  <si>
    <t>Czech Republic</t>
  </si>
  <si>
    <t>Slovakia</t>
  </si>
  <si>
    <t>Slovenia</t>
  </si>
  <si>
    <t>Romania</t>
  </si>
  <si>
    <t>Bulgaria</t>
  </si>
  <si>
    <t>Croatia</t>
  </si>
  <si>
    <t>Italy</t>
  </si>
  <si>
    <t>Greece</t>
  </si>
  <si>
    <t>Spain</t>
  </si>
  <si>
    <t>Portugal</t>
  </si>
  <si>
    <t>Cyprus</t>
  </si>
  <si>
    <t>Malta</t>
  </si>
  <si>
    <t>Eastern Europe</t>
  </si>
  <si>
    <t>Northwestern Europe</t>
  </si>
  <si>
    <t>Southern Europe</t>
  </si>
  <si>
    <t>Category</t>
  </si>
  <si>
    <t>Country</t>
  </si>
  <si>
    <t>Biomass</t>
  </si>
  <si>
    <t>Coal</t>
  </si>
  <si>
    <t>Gas</t>
  </si>
  <si>
    <t>Liquids</t>
  </si>
  <si>
    <t>Hydrogen</t>
  </si>
  <si>
    <t>Fuel</t>
  </si>
  <si>
    <t>Unit</t>
  </si>
  <si>
    <t>Mtoe</t>
  </si>
  <si>
    <t>Mt CO2</t>
  </si>
  <si>
    <t>Solid biomass</t>
  </si>
  <si>
    <t>Biofuels</t>
  </si>
  <si>
    <t>Biogas</t>
  </si>
  <si>
    <t>Renewable electricity</t>
  </si>
  <si>
    <t>Ambient heat</t>
  </si>
  <si>
    <t>Solar thermal</t>
  </si>
  <si>
    <t>% renewables in FE</t>
  </si>
  <si>
    <t>EU-27</t>
  </si>
  <si>
    <t>FF55_COST_OPT</t>
  </si>
  <si>
    <t>NECP_COST_OPT</t>
  </si>
  <si>
    <t>Green hydrogen</t>
  </si>
  <si>
    <t>FF55_COSTOPT</t>
  </si>
  <si>
    <t>NECP_COSTOPT</t>
  </si>
  <si>
    <t>NECP_target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</si>
</sst>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0AFB-616C-4E10-AA44-D962CC12DC01}">
  <dimension ref="A1:G36"/>
  <sheetViews>
    <sheetView topLeftCell="A19" workbookViewId="0">
      <selection activeCell="C52" sqref="C52"/>
    </sheetView>
  </sheetViews>
  <sheetFormatPr defaultRowHeight="13.8" x14ac:dyDescent="0.25"/>
  <cols>
    <col min="1" max="1" width="11.296875" customWidth="1"/>
    <col min="2" max="2" width="15.796875" customWidth="1"/>
  </cols>
  <sheetData>
    <row r="1" spans="1:7" x14ac:dyDescent="0.25">
      <c r="A1" t="s">
        <v>7</v>
      </c>
      <c r="B1" t="s">
        <v>8</v>
      </c>
      <c r="C1">
        <v>2015</v>
      </c>
      <c r="D1">
        <v>2023</v>
      </c>
      <c r="E1">
        <v>2030</v>
      </c>
      <c r="F1">
        <v>2050</v>
      </c>
      <c r="G1" t="s">
        <v>50</v>
      </c>
    </row>
    <row r="2" spans="1:7" x14ac:dyDescent="0.25">
      <c r="A2" t="s">
        <v>0</v>
      </c>
      <c r="B2" t="s">
        <v>9</v>
      </c>
      <c r="E2">
        <v>199.1292423519721</v>
      </c>
      <c r="F2">
        <v>-50.961961570417508</v>
      </c>
      <c r="G2" t="s">
        <v>52</v>
      </c>
    </row>
    <row r="3" spans="1:7" x14ac:dyDescent="0.25">
      <c r="A3" t="s">
        <v>1</v>
      </c>
      <c r="B3" t="s">
        <v>9</v>
      </c>
      <c r="E3">
        <v>236.33362601080677</v>
      </c>
      <c r="F3">
        <v>139.93955595130183</v>
      </c>
      <c r="G3" t="s">
        <v>52</v>
      </c>
    </row>
    <row r="4" spans="1:7" x14ac:dyDescent="0.25">
      <c r="A4" t="s">
        <v>2</v>
      </c>
      <c r="B4" t="s">
        <v>9</v>
      </c>
      <c r="E4">
        <v>312.23062736029465</v>
      </c>
      <c r="F4">
        <v>-47.371381505448348</v>
      </c>
      <c r="G4" t="s">
        <v>52</v>
      </c>
    </row>
    <row r="5" spans="1:7" x14ac:dyDescent="0.25">
      <c r="A5" t="s">
        <v>3</v>
      </c>
      <c r="B5" t="s">
        <v>9</v>
      </c>
      <c r="E5">
        <v>107.31975766044209</v>
      </c>
      <c r="F5">
        <v>15.727297075582209</v>
      </c>
      <c r="G5" t="s">
        <v>52</v>
      </c>
    </row>
    <row r="6" spans="1:7" x14ac:dyDescent="0.25">
      <c r="A6" t="s">
        <v>4</v>
      </c>
      <c r="B6" t="s">
        <v>9</v>
      </c>
      <c r="E6">
        <v>742.55234607040984</v>
      </c>
      <c r="F6">
        <v>140.57261810699023</v>
      </c>
      <c r="G6" t="s">
        <v>52</v>
      </c>
    </row>
    <row r="7" spans="1:7" x14ac:dyDescent="0.25">
      <c r="A7" t="s">
        <v>5</v>
      </c>
      <c r="B7" t="s">
        <v>9</v>
      </c>
      <c r="E7">
        <v>197.55193674754972</v>
      </c>
      <c r="F7">
        <v>107.23522626340826</v>
      </c>
      <c r="G7" t="s">
        <v>52</v>
      </c>
    </row>
    <row r="8" spans="1:7" x14ac:dyDescent="0.25">
      <c r="A8" t="s">
        <v>6</v>
      </c>
      <c r="B8" t="s">
        <v>9</v>
      </c>
      <c r="E8">
        <v>17.45610754055749</v>
      </c>
      <c r="F8">
        <v>14.201134247804791</v>
      </c>
      <c r="G8" t="s">
        <v>52</v>
      </c>
    </row>
    <row r="9" spans="1:7" x14ac:dyDescent="0.25">
      <c r="A9" t="s">
        <v>0</v>
      </c>
      <c r="B9" t="s">
        <v>11</v>
      </c>
      <c r="C9">
        <v>904.14560455913886</v>
      </c>
      <c r="D9">
        <v>567.98410999999999</v>
      </c>
      <c r="G9" t="s">
        <v>52</v>
      </c>
    </row>
    <row r="10" spans="1:7" x14ac:dyDescent="0.25">
      <c r="A10" t="s">
        <v>1</v>
      </c>
      <c r="B10" t="s">
        <v>11</v>
      </c>
      <c r="C10">
        <v>498.48119098523495</v>
      </c>
      <c r="D10">
        <v>422.01614000000001</v>
      </c>
      <c r="G10" t="s">
        <v>52</v>
      </c>
    </row>
    <row r="11" spans="1:7" x14ac:dyDescent="0.25">
      <c r="A11" t="s">
        <v>2</v>
      </c>
      <c r="B11" t="s">
        <v>11</v>
      </c>
      <c r="C11">
        <v>504.17575971878273</v>
      </c>
      <c r="D11">
        <v>478.85944000000001</v>
      </c>
      <c r="G11" t="s">
        <v>52</v>
      </c>
    </row>
    <row r="12" spans="1:7" x14ac:dyDescent="0.25">
      <c r="A12" t="s">
        <v>3</v>
      </c>
      <c r="B12" t="s">
        <v>11</v>
      </c>
      <c r="C12">
        <v>159.21398665614063</v>
      </c>
      <c r="D12">
        <v>88.413640000000001</v>
      </c>
      <c r="G12" t="s">
        <v>52</v>
      </c>
    </row>
    <row r="13" spans="1:7" x14ac:dyDescent="0.25">
      <c r="A13" t="s">
        <v>4</v>
      </c>
      <c r="B13" t="s">
        <v>11</v>
      </c>
      <c r="C13">
        <v>884.67607535210777</v>
      </c>
      <c r="D13">
        <v>785.74290000000008</v>
      </c>
      <c r="G13" t="s">
        <v>52</v>
      </c>
    </row>
    <row r="14" spans="1:7" x14ac:dyDescent="0.25">
      <c r="A14" t="s">
        <v>5</v>
      </c>
      <c r="B14" t="s">
        <v>11</v>
      </c>
      <c r="C14">
        <v>190.69012673083378</v>
      </c>
      <c r="D14">
        <v>242.49913000000001</v>
      </c>
      <c r="G14" t="s">
        <v>52</v>
      </c>
    </row>
    <row r="15" spans="1:7" x14ac:dyDescent="0.25">
      <c r="A15" t="s">
        <v>6</v>
      </c>
      <c r="B15" t="s">
        <v>11</v>
      </c>
      <c r="C15">
        <v>25.082872870864978</v>
      </c>
      <c r="D15">
        <v>16.918830000000003</v>
      </c>
      <c r="G15" t="s">
        <v>52</v>
      </c>
    </row>
    <row r="16" spans="1:7" x14ac:dyDescent="0.25">
      <c r="A16" t="s">
        <v>0</v>
      </c>
      <c r="B16" t="s">
        <v>64</v>
      </c>
      <c r="E16">
        <v>338.22334750007917</v>
      </c>
      <c r="F16">
        <v>-168.79851042952075</v>
      </c>
      <c r="G16" t="s">
        <v>52</v>
      </c>
    </row>
    <row r="17" spans="1:7" x14ac:dyDescent="0.25">
      <c r="A17" t="s">
        <v>1</v>
      </c>
      <c r="B17" t="s">
        <v>64</v>
      </c>
      <c r="E17">
        <v>250.63292423313283</v>
      </c>
      <c r="F17">
        <v>137.12495244483998</v>
      </c>
      <c r="G17" t="s">
        <v>52</v>
      </c>
    </row>
    <row r="18" spans="1:7" x14ac:dyDescent="0.25">
      <c r="A18" t="s">
        <v>2</v>
      </c>
      <c r="B18" t="s">
        <v>64</v>
      </c>
      <c r="E18">
        <v>282.36993664355577</v>
      </c>
      <c r="F18">
        <v>-36.641832831742327</v>
      </c>
      <c r="G18" t="s">
        <v>52</v>
      </c>
    </row>
    <row r="19" spans="1:7" x14ac:dyDescent="0.25">
      <c r="A19" t="s">
        <v>3</v>
      </c>
      <c r="B19" t="s">
        <v>64</v>
      </c>
      <c r="E19">
        <v>116.71362141670768</v>
      </c>
      <c r="F19">
        <v>18.434547102975692</v>
      </c>
      <c r="G19" t="s">
        <v>52</v>
      </c>
    </row>
    <row r="20" spans="1:7" x14ac:dyDescent="0.25">
      <c r="A20" t="s">
        <v>4</v>
      </c>
      <c r="B20" t="s">
        <v>64</v>
      </c>
      <c r="E20">
        <v>636.4718255111145</v>
      </c>
      <c r="F20">
        <v>257.82220178133207</v>
      </c>
      <c r="G20" t="s">
        <v>52</v>
      </c>
    </row>
    <row r="21" spans="1:7" x14ac:dyDescent="0.25">
      <c r="A21" t="s">
        <v>5</v>
      </c>
      <c r="B21" t="s">
        <v>64</v>
      </c>
      <c r="E21">
        <v>148.28489336212994</v>
      </c>
      <c r="F21">
        <v>103.43946822361421</v>
      </c>
      <c r="G21" t="s">
        <v>52</v>
      </c>
    </row>
    <row r="22" spans="1:7" x14ac:dyDescent="0.25">
      <c r="A22" t="s">
        <v>6</v>
      </c>
      <c r="B22" t="s">
        <v>64</v>
      </c>
      <c r="E22">
        <v>20.174980992180657</v>
      </c>
      <c r="F22">
        <v>13.43154463294009</v>
      </c>
      <c r="G22" t="s">
        <v>52</v>
      </c>
    </row>
    <row r="23" spans="1:7" x14ac:dyDescent="0.25">
      <c r="A23" t="s">
        <v>0</v>
      </c>
      <c r="B23" t="s">
        <v>10</v>
      </c>
      <c r="E23">
        <v>211.32133725734604</v>
      </c>
      <c r="F23">
        <v>-5.7193515918058484</v>
      </c>
      <c r="G23" t="s">
        <v>52</v>
      </c>
    </row>
    <row r="24" spans="1:7" x14ac:dyDescent="0.25">
      <c r="A24" t="s">
        <v>1</v>
      </c>
      <c r="B24" t="s">
        <v>10</v>
      </c>
      <c r="E24">
        <v>255.21822935815652</v>
      </c>
      <c r="F24">
        <v>118.69396577316036</v>
      </c>
      <c r="G24" t="s">
        <v>52</v>
      </c>
    </row>
    <row r="25" spans="1:7" x14ac:dyDescent="0.25">
      <c r="A25" t="s">
        <v>2</v>
      </c>
      <c r="B25" t="s">
        <v>10</v>
      </c>
      <c r="E25">
        <v>313.66293938432443</v>
      </c>
      <c r="F25">
        <v>-66.286546111307274</v>
      </c>
      <c r="G25" t="s">
        <v>52</v>
      </c>
    </row>
    <row r="26" spans="1:7" x14ac:dyDescent="0.25">
      <c r="A26" t="s">
        <v>3</v>
      </c>
      <c r="B26" t="s">
        <v>10</v>
      </c>
      <c r="E26">
        <v>102.15353698468975</v>
      </c>
      <c r="F26">
        <v>13.870542800133169</v>
      </c>
      <c r="G26" t="s">
        <v>52</v>
      </c>
    </row>
    <row r="27" spans="1:7" x14ac:dyDescent="0.25">
      <c r="A27" t="s">
        <v>4</v>
      </c>
      <c r="B27" t="s">
        <v>10</v>
      </c>
      <c r="E27">
        <v>728.13581291154071</v>
      </c>
      <c r="F27">
        <v>100.39200141714392</v>
      </c>
      <c r="G27" t="s">
        <v>52</v>
      </c>
    </row>
    <row r="28" spans="1:7" x14ac:dyDescent="0.25">
      <c r="A28" t="s">
        <v>5</v>
      </c>
      <c r="B28" t="s">
        <v>10</v>
      </c>
      <c r="E28">
        <v>195.30024236038346</v>
      </c>
      <c r="F28">
        <v>68.692273670152673</v>
      </c>
      <c r="G28" t="s">
        <v>52</v>
      </c>
    </row>
    <row r="29" spans="1:7" x14ac:dyDescent="0.25">
      <c r="A29" t="s">
        <v>6</v>
      </c>
      <c r="B29" t="s">
        <v>10</v>
      </c>
      <c r="E29">
        <v>17.976009253760129</v>
      </c>
      <c r="F29">
        <v>14.241320849572178</v>
      </c>
      <c r="G29" t="s">
        <v>52</v>
      </c>
    </row>
    <row r="30" spans="1:7" x14ac:dyDescent="0.25">
      <c r="A30" t="s">
        <v>0</v>
      </c>
      <c r="B30" t="s">
        <v>65</v>
      </c>
      <c r="E30">
        <v>353.81674898077688</v>
      </c>
      <c r="F30">
        <v>-94.215622965636513</v>
      </c>
      <c r="G30" t="s">
        <v>52</v>
      </c>
    </row>
    <row r="31" spans="1:7" x14ac:dyDescent="0.25">
      <c r="A31" t="s">
        <v>1</v>
      </c>
      <c r="B31" t="s">
        <v>65</v>
      </c>
      <c r="E31">
        <v>246.966011517612</v>
      </c>
      <c r="F31">
        <v>117.52535966316606</v>
      </c>
      <c r="G31" t="s">
        <v>52</v>
      </c>
    </row>
    <row r="32" spans="1:7" x14ac:dyDescent="0.25">
      <c r="A32" t="s">
        <v>2</v>
      </c>
      <c r="B32" t="s">
        <v>65</v>
      </c>
      <c r="E32">
        <v>288.52512210704003</v>
      </c>
      <c r="F32">
        <v>-67.481274077010539</v>
      </c>
      <c r="G32" t="s">
        <v>52</v>
      </c>
    </row>
    <row r="33" spans="1:7" x14ac:dyDescent="0.25">
      <c r="A33" t="s">
        <v>3</v>
      </c>
      <c r="B33" t="s">
        <v>65</v>
      </c>
      <c r="E33">
        <v>116.28012050341773</v>
      </c>
      <c r="F33">
        <v>15.580533139353419</v>
      </c>
      <c r="G33" t="s">
        <v>52</v>
      </c>
    </row>
    <row r="34" spans="1:7" x14ac:dyDescent="0.25">
      <c r="A34" t="s">
        <v>4</v>
      </c>
      <c r="B34" t="s">
        <v>65</v>
      </c>
      <c r="E34">
        <v>639.27823881112147</v>
      </c>
      <c r="F34">
        <v>204.26569866442341</v>
      </c>
      <c r="G34" t="s">
        <v>52</v>
      </c>
    </row>
    <row r="35" spans="1:7" x14ac:dyDescent="0.25">
      <c r="A35" t="s">
        <v>5</v>
      </c>
      <c r="B35" t="s">
        <v>65</v>
      </c>
      <c r="E35">
        <v>145.10041266572935</v>
      </c>
      <c r="F35">
        <v>63.982004952673272</v>
      </c>
      <c r="G35" t="s">
        <v>52</v>
      </c>
    </row>
    <row r="36" spans="1:7" x14ac:dyDescent="0.25">
      <c r="A36" t="s">
        <v>6</v>
      </c>
      <c r="B36" t="s">
        <v>65</v>
      </c>
      <c r="E36">
        <v>19.790473065269214</v>
      </c>
      <c r="F36">
        <v>13.543443072636457</v>
      </c>
      <c r="G3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002D-30EC-45ED-9F52-8C71B3701806}">
  <dimension ref="A1:G28"/>
  <sheetViews>
    <sheetView workbookViewId="0">
      <selection activeCell="F1" sqref="F1"/>
    </sheetView>
  </sheetViews>
  <sheetFormatPr defaultRowHeight="13.8" x14ac:dyDescent="0.25"/>
  <cols>
    <col min="1" max="1" width="19.796875" customWidth="1"/>
    <col min="3" max="3" width="13.69921875" customWidth="1"/>
    <col min="4" max="4" width="11.3984375" customWidth="1"/>
  </cols>
  <sheetData>
    <row r="1" spans="1:7" x14ac:dyDescent="0.25">
      <c r="A1" t="s">
        <v>42</v>
      </c>
      <c r="B1" t="s">
        <v>43</v>
      </c>
      <c r="C1" t="s">
        <v>9</v>
      </c>
      <c r="D1" t="s">
        <v>64</v>
      </c>
      <c r="E1" t="s">
        <v>10</v>
      </c>
      <c r="F1" t="s">
        <v>65</v>
      </c>
      <c r="G1" t="s">
        <v>50</v>
      </c>
    </row>
    <row r="2" spans="1:7" x14ac:dyDescent="0.25">
      <c r="A2" t="s">
        <v>40</v>
      </c>
      <c r="B2" t="s">
        <v>12</v>
      </c>
      <c r="C2">
        <v>-433.6731266496497</v>
      </c>
      <c r="D2">
        <v>-339.29482065489861</v>
      </c>
      <c r="E2">
        <v>-430.95530938907353</v>
      </c>
      <c r="F2">
        <v>-432.01542251082594</v>
      </c>
      <c r="G2" t="s">
        <v>52</v>
      </c>
    </row>
    <row r="3" spans="1:7" x14ac:dyDescent="0.25">
      <c r="A3" t="s">
        <v>40</v>
      </c>
      <c r="B3" t="s">
        <v>13</v>
      </c>
      <c r="C3">
        <v>-98.192565876636337</v>
      </c>
      <c r="D3">
        <v>-159.2673637925858</v>
      </c>
      <c r="E3">
        <v>-104.46488733695905</v>
      </c>
      <c r="F3">
        <v>-103.84725178048227</v>
      </c>
      <c r="G3" t="s">
        <v>52</v>
      </c>
    </row>
    <row r="4" spans="1:7" x14ac:dyDescent="0.25">
      <c r="A4" t="s">
        <v>40</v>
      </c>
      <c r="B4" t="s">
        <v>14</v>
      </c>
      <c r="C4">
        <v>-70.244133704321627</v>
      </c>
      <c r="D4">
        <v>-55.306945922672917</v>
      </c>
      <c r="E4">
        <v>-74.651729056242985</v>
      </c>
      <c r="F4">
        <v>-80.481334383329681</v>
      </c>
      <c r="G4" t="s">
        <v>52</v>
      </c>
    </row>
    <row r="5" spans="1:7" x14ac:dyDescent="0.25">
      <c r="A5" t="s">
        <v>40</v>
      </c>
      <c r="B5" t="s">
        <v>15</v>
      </c>
      <c r="C5">
        <v>-30.579844441060157</v>
      </c>
      <c r="D5">
        <v>-30.11163640209217</v>
      </c>
      <c r="E5">
        <v>-30.313464661093374</v>
      </c>
      <c r="F5">
        <v>-29.825741648241511</v>
      </c>
      <c r="G5" t="s">
        <v>52</v>
      </c>
    </row>
    <row r="6" spans="1:7" x14ac:dyDescent="0.25">
      <c r="A6" t="s">
        <v>40</v>
      </c>
      <c r="B6" t="s">
        <v>16</v>
      </c>
      <c r="C6">
        <v>-1.4735766686801206</v>
      </c>
      <c r="D6">
        <v>-0.84274840318671163</v>
      </c>
      <c r="E6">
        <v>-4.9612666186316741</v>
      </c>
      <c r="F6">
        <v>-5.1462636272582492</v>
      </c>
      <c r="G6" t="s">
        <v>52</v>
      </c>
    </row>
    <row r="7" spans="1:7" x14ac:dyDescent="0.25">
      <c r="A7" t="s">
        <v>40</v>
      </c>
      <c r="B7" t="s">
        <v>17</v>
      </c>
      <c r="C7">
        <v>-23.095267641317303</v>
      </c>
      <c r="D7">
        <v>-35.161650961104634</v>
      </c>
      <c r="E7">
        <v>-29.56286675431198</v>
      </c>
      <c r="F7">
        <v>-29.753585059565854</v>
      </c>
      <c r="G7" t="s">
        <v>52</v>
      </c>
    </row>
    <row r="8" spans="1:7" x14ac:dyDescent="0.25">
      <c r="A8" t="s">
        <v>40</v>
      </c>
      <c r="B8" t="s">
        <v>18</v>
      </c>
      <c r="C8">
        <v>-15.081843265828276</v>
      </c>
      <c r="D8">
        <v>-92.050383690556316</v>
      </c>
      <c r="E8">
        <v>-9.7687690693540628</v>
      </c>
      <c r="F8">
        <v>-9.3701194034550888</v>
      </c>
      <c r="G8" t="s">
        <v>52</v>
      </c>
    </row>
    <row r="9" spans="1:7" x14ac:dyDescent="0.25">
      <c r="A9" t="s">
        <v>40</v>
      </c>
      <c r="B9" t="s">
        <v>19</v>
      </c>
      <c r="C9">
        <v>-27.799417539045127</v>
      </c>
      <c r="D9">
        <v>-63.791036017844306</v>
      </c>
      <c r="E9">
        <v>-28.838858596033159</v>
      </c>
      <c r="F9">
        <v>-30.215446434159318</v>
      </c>
      <c r="G9" t="s">
        <v>52</v>
      </c>
    </row>
    <row r="10" spans="1:7" x14ac:dyDescent="0.25">
      <c r="A10" t="s">
        <v>40</v>
      </c>
      <c r="B10" t="s">
        <v>20</v>
      </c>
      <c r="C10">
        <v>-14.773381586967155</v>
      </c>
      <c r="D10">
        <v>-13.882294085588098</v>
      </c>
      <c r="E10">
        <v>-12.916123863022509</v>
      </c>
      <c r="F10">
        <v>-13.004779610156712</v>
      </c>
      <c r="G10" t="s">
        <v>52</v>
      </c>
    </row>
    <row r="11" spans="1:7" x14ac:dyDescent="0.25">
      <c r="A11" t="s">
        <v>39</v>
      </c>
      <c r="B11" t="s">
        <v>21</v>
      </c>
      <c r="C11">
        <v>-10.607453404953711</v>
      </c>
      <c r="D11">
        <v>-11.076750775506898</v>
      </c>
      <c r="E11">
        <v>-11.969376359550038</v>
      </c>
      <c r="F11">
        <v>-12.340900129576312</v>
      </c>
      <c r="G11" t="s">
        <v>52</v>
      </c>
    </row>
    <row r="12" spans="1:7" x14ac:dyDescent="0.25">
      <c r="A12" t="s">
        <v>39</v>
      </c>
      <c r="B12" t="s">
        <v>22</v>
      </c>
      <c r="C12">
        <v>-3.4187810893116963</v>
      </c>
      <c r="D12">
        <v>-3.6767983411146994</v>
      </c>
      <c r="E12">
        <v>-3.4872321313293861</v>
      </c>
      <c r="F12">
        <v>-3.3459159637566662</v>
      </c>
      <c r="G12" t="s">
        <v>52</v>
      </c>
    </row>
    <row r="13" spans="1:7" x14ac:dyDescent="0.25">
      <c r="A13" t="s">
        <v>39</v>
      </c>
      <c r="B13" t="s">
        <v>23</v>
      </c>
      <c r="C13">
        <v>-3.6506043817954783</v>
      </c>
      <c r="D13">
        <v>-3.1113046650975367</v>
      </c>
      <c r="E13">
        <v>-3.5157895740156979</v>
      </c>
      <c r="F13">
        <v>-3.8603339372618835</v>
      </c>
      <c r="G13" t="s">
        <v>52</v>
      </c>
    </row>
    <row r="14" spans="1:7" x14ac:dyDescent="0.25">
      <c r="A14" t="s">
        <v>39</v>
      </c>
      <c r="B14" t="s">
        <v>24</v>
      </c>
      <c r="C14">
        <v>-15.037948950957713</v>
      </c>
      <c r="D14">
        <v>-10.509152048202543</v>
      </c>
      <c r="E14">
        <v>-14.881547065744169</v>
      </c>
      <c r="F14">
        <v>-15.672152110773043</v>
      </c>
      <c r="G14" t="s">
        <v>52</v>
      </c>
    </row>
    <row r="15" spans="1:7" x14ac:dyDescent="0.25">
      <c r="A15" t="s">
        <v>39</v>
      </c>
      <c r="B15" t="s">
        <v>25</v>
      </c>
      <c r="C15">
        <v>-12.571017684825527</v>
      </c>
      <c r="D15">
        <v>-18.187760060393096</v>
      </c>
      <c r="E15">
        <v>-10.577939340652925</v>
      </c>
      <c r="F15">
        <v>-10.552589080232114</v>
      </c>
      <c r="G15" t="s">
        <v>52</v>
      </c>
    </row>
    <row r="16" spans="1:7" x14ac:dyDescent="0.25">
      <c r="A16" t="s">
        <v>39</v>
      </c>
      <c r="B16" t="s">
        <v>26</v>
      </c>
      <c r="C16">
        <v>-145.70355849819586</v>
      </c>
      <c r="D16">
        <v>-142.53525546231629</v>
      </c>
      <c r="E16">
        <v>-142.69998645432844</v>
      </c>
      <c r="F16">
        <v>-145.49395099298067</v>
      </c>
      <c r="G16" t="s">
        <v>52</v>
      </c>
    </row>
    <row r="17" spans="1:7" x14ac:dyDescent="0.25">
      <c r="A17" t="s">
        <v>39</v>
      </c>
      <c r="B17" t="s">
        <v>27</v>
      </c>
      <c r="C17">
        <v>-57.122823551627341</v>
      </c>
      <c r="D17">
        <v>-49.097086312457193</v>
      </c>
      <c r="E17">
        <v>-54.084888962985445</v>
      </c>
      <c r="F17">
        <v>-54.307735280406668</v>
      </c>
      <c r="G17" t="s">
        <v>52</v>
      </c>
    </row>
    <row r="18" spans="1:7" x14ac:dyDescent="0.25">
      <c r="A18" t="s">
        <v>39</v>
      </c>
      <c r="B18" t="s">
        <v>28</v>
      </c>
      <c r="C18">
        <v>-12.531644010243806</v>
      </c>
      <c r="D18">
        <v>-16.341392327372613</v>
      </c>
      <c r="E18">
        <v>-9.7506269221699391</v>
      </c>
      <c r="F18">
        <v>-9.7674018011127792</v>
      </c>
      <c r="G18" t="s">
        <v>52</v>
      </c>
    </row>
    <row r="19" spans="1:7" x14ac:dyDescent="0.25">
      <c r="A19" t="s">
        <v>39</v>
      </c>
      <c r="B19" t="s">
        <v>29</v>
      </c>
      <c r="C19">
        <v>-4.7012538128971659</v>
      </c>
      <c r="D19">
        <v>-4.0310756086933877</v>
      </c>
      <c r="E19">
        <v>-4.0530829673142277</v>
      </c>
      <c r="F19">
        <v>-4.0511239572583104</v>
      </c>
      <c r="G19" t="s">
        <v>52</v>
      </c>
    </row>
    <row r="20" spans="1:7" x14ac:dyDescent="0.25">
      <c r="A20" t="s">
        <v>39</v>
      </c>
      <c r="B20" t="s">
        <v>30</v>
      </c>
      <c r="C20">
        <v>-23.666454761720622</v>
      </c>
      <c r="D20">
        <v>-18.286354383213247</v>
      </c>
      <c r="E20">
        <v>-20.703392067874987</v>
      </c>
      <c r="F20">
        <v>-20.843348035277561</v>
      </c>
      <c r="G20" t="s">
        <v>52</v>
      </c>
    </row>
    <row r="21" spans="1:7" x14ac:dyDescent="0.25">
      <c r="A21" t="s">
        <v>39</v>
      </c>
      <c r="B21" t="s">
        <v>31</v>
      </c>
      <c r="C21">
        <v>-26.883783878340349</v>
      </c>
      <c r="D21">
        <v>-27.958067003807177</v>
      </c>
      <c r="E21">
        <v>-25.283481267978168</v>
      </c>
      <c r="F21">
        <v>-25.698868253816521</v>
      </c>
      <c r="G21" t="s">
        <v>52</v>
      </c>
    </row>
    <row r="22" spans="1:7" x14ac:dyDescent="0.25">
      <c r="A22" t="s">
        <v>39</v>
      </c>
      <c r="B22" t="s">
        <v>32</v>
      </c>
      <c r="C22">
        <v>-5.4124466056892109</v>
      </c>
      <c r="D22">
        <v>-5.2139919503747914</v>
      </c>
      <c r="E22">
        <v>-4.9387912610187596</v>
      </c>
      <c r="F22">
        <v>-5.3601006644095435</v>
      </c>
      <c r="G22" t="s">
        <v>52</v>
      </c>
    </row>
    <row r="23" spans="1:7" x14ac:dyDescent="0.25">
      <c r="A23" t="s">
        <v>41</v>
      </c>
      <c r="B23" t="s">
        <v>33</v>
      </c>
      <c r="C23">
        <v>-156.53008653416262</v>
      </c>
      <c r="D23">
        <v>-128.23208306859945</v>
      </c>
      <c r="E23">
        <v>-113.98114700482249</v>
      </c>
      <c r="F23">
        <v>-112.2181859242948</v>
      </c>
      <c r="G23" t="s">
        <v>52</v>
      </c>
    </row>
    <row r="24" spans="1:7" x14ac:dyDescent="0.25">
      <c r="A24" t="s">
        <v>41</v>
      </c>
      <c r="B24" t="s">
        <v>34</v>
      </c>
      <c r="C24">
        <v>-36.059325879121431</v>
      </c>
      <c r="D24">
        <v>-26.306136720977893</v>
      </c>
      <c r="E24">
        <v>-35.828413121690168</v>
      </c>
      <c r="F24">
        <v>-35.59258242690445</v>
      </c>
      <c r="G24" t="s">
        <v>52</v>
      </c>
    </row>
    <row r="25" spans="1:7" x14ac:dyDescent="0.25">
      <c r="A25" t="s">
        <v>41</v>
      </c>
      <c r="B25" t="s">
        <v>35</v>
      </c>
      <c r="C25">
        <v>-96.150254778403394</v>
      </c>
      <c r="D25">
        <v>-90.701457518637142</v>
      </c>
      <c r="E25">
        <v>-126.88600172804084</v>
      </c>
      <c r="F25">
        <v>-133.08136384072233</v>
      </c>
      <c r="G25" t="s">
        <v>52</v>
      </c>
    </row>
    <row r="26" spans="1:7" x14ac:dyDescent="0.25">
      <c r="A26" t="s">
        <v>41</v>
      </c>
      <c r="B26" t="s">
        <v>36</v>
      </c>
      <c r="C26">
        <v>-22.43612091887443</v>
      </c>
      <c r="D26">
        <v>-23.799247541883936</v>
      </c>
      <c r="E26">
        <v>-26.589897232691552</v>
      </c>
      <c r="F26">
        <v>-26.458729099626385</v>
      </c>
      <c r="G26" t="s">
        <v>52</v>
      </c>
    </row>
    <row r="27" spans="1:7" x14ac:dyDescent="0.25">
      <c r="A27" t="s">
        <v>41</v>
      </c>
      <c r="B27" t="s">
        <v>37</v>
      </c>
      <c r="C27">
        <v>-2.3741416103298727</v>
      </c>
      <c r="D27">
        <v>-1.9842008252526748</v>
      </c>
      <c r="E27">
        <v>-2.295187938888045</v>
      </c>
      <c r="F27">
        <v>-2.2275283820292966</v>
      </c>
      <c r="G27" t="s">
        <v>52</v>
      </c>
    </row>
    <row r="28" spans="1:7" x14ac:dyDescent="0.25">
      <c r="A28" t="s">
        <v>41</v>
      </c>
      <c r="B28" t="s">
        <v>38</v>
      </c>
      <c r="C28">
        <v>0.82574662737631443</v>
      </c>
      <c r="D28">
        <v>-5.6910037264128313E-2</v>
      </c>
      <c r="E28">
        <v>0.89508610860310567</v>
      </c>
      <c r="F28">
        <v>0.5252932124744546</v>
      </c>
      <c r="G28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3D5D-76B2-48EE-8480-EC5E47939BDD}">
  <dimension ref="A1:F31"/>
  <sheetViews>
    <sheetView topLeftCell="A10" workbookViewId="0">
      <selection activeCell="B27" sqref="B27"/>
    </sheetView>
  </sheetViews>
  <sheetFormatPr defaultRowHeight="13.8" x14ac:dyDescent="0.25"/>
  <cols>
    <col min="2" max="2" width="20.19921875" customWidth="1"/>
  </cols>
  <sheetData>
    <row r="1" spans="1:6" x14ac:dyDescent="0.25">
      <c r="A1" t="s">
        <v>49</v>
      </c>
      <c r="B1" t="s">
        <v>8</v>
      </c>
      <c r="C1">
        <v>2015</v>
      </c>
      <c r="D1">
        <v>2030</v>
      </c>
      <c r="E1">
        <v>2050</v>
      </c>
      <c r="F1" t="s">
        <v>50</v>
      </c>
    </row>
    <row r="2" spans="1:6" x14ac:dyDescent="0.25">
      <c r="A2" t="s">
        <v>44</v>
      </c>
      <c r="B2" t="s">
        <v>11</v>
      </c>
      <c r="C2">
        <v>83.086130575669088</v>
      </c>
      <c r="F2" t="s">
        <v>51</v>
      </c>
    </row>
    <row r="3" spans="1:6" x14ac:dyDescent="0.25">
      <c r="A3" t="s">
        <v>45</v>
      </c>
      <c r="B3" t="s">
        <v>11</v>
      </c>
      <c r="C3">
        <v>60.820411286908424</v>
      </c>
      <c r="F3" t="s">
        <v>51</v>
      </c>
    </row>
    <row r="4" spans="1:6" x14ac:dyDescent="0.25">
      <c r="A4" t="s">
        <v>46</v>
      </c>
      <c r="B4" t="s">
        <v>11</v>
      </c>
      <c r="C4">
        <v>215.86646473732452</v>
      </c>
      <c r="F4" t="s">
        <v>51</v>
      </c>
    </row>
    <row r="5" spans="1:6" x14ac:dyDescent="0.25">
      <c r="A5" t="s">
        <v>47</v>
      </c>
      <c r="B5" t="s">
        <v>11</v>
      </c>
      <c r="C5">
        <v>371.87502173310992</v>
      </c>
      <c r="F5" t="s">
        <v>51</v>
      </c>
    </row>
    <row r="6" spans="1:6" x14ac:dyDescent="0.25">
      <c r="A6" t="s">
        <v>0</v>
      </c>
      <c r="B6" t="s">
        <v>11</v>
      </c>
      <c r="C6">
        <v>214.68726198386182</v>
      </c>
      <c r="F6" t="s">
        <v>51</v>
      </c>
    </row>
    <row r="7" spans="1:6" x14ac:dyDescent="0.25">
      <c r="A7" t="s">
        <v>48</v>
      </c>
      <c r="B7" t="s">
        <v>11</v>
      </c>
      <c r="C7">
        <v>0</v>
      </c>
      <c r="F7" t="s">
        <v>51</v>
      </c>
    </row>
    <row r="8" spans="1:6" x14ac:dyDescent="0.25">
      <c r="A8" t="s">
        <v>44</v>
      </c>
      <c r="B8" t="s">
        <v>9</v>
      </c>
      <c r="D8">
        <v>87.659526200444418</v>
      </c>
      <c r="E8">
        <v>65.552759150723801</v>
      </c>
      <c r="F8" t="s">
        <v>51</v>
      </c>
    </row>
    <row r="9" spans="1:6" x14ac:dyDescent="0.25">
      <c r="A9" t="s">
        <v>45</v>
      </c>
      <c r="B9" t="s">
        <v>9</v>
      </c>
      <c r="D9">
        <v>38.094927049209005</v>
      </c>
      <c r="E9">
        <v>16.677870119667848</v>
      </c>
      <c r="F9" t="s">
        <v>51</v>
      </c>
    </row>
    <row r="10" spans="1:6" x14ac:dyDescent="0.25">
      <c r="A10" t="s">
        <v>46</v>
      </c>
      <c r="B10" t="s">
        <v>9</v>
      </c>
      <c r="D10">
        <v>141.38683777432945</v>
      </c>
      <c r="E10">
        <v>101.82634582463311</v>
      </c>
      <c r="F10" t="s">
        <v>51</v>
      </c>
    </row>
    <row r="11" spans="1:6" x14ac:dyDescent="0.25">
      <c r="A11" t="s">
        <v>47</v>
      </c>
      <c r="B11" t="s">
        <v>9</v>
      </c>
      <c r="D11">
        <v>283.14576404806695</v>
      </c>
      <c r="E11">
        <v>145.85563927693434</v>
      </c>
      <c r="F11" t="s">
        <v>51</v>
      </c>
    </row>
    <row r="12" spans="1:6" x14ac:dyDescent="0.25">
      <c r="A12" t="s">
        <v>0</v>
      </c>
      <c r="B12" t="s">
        <v>9</v>
      </c>
      <c r="D12">
        <v>277.8678065191213</v>
      </c>
      <c r="E12">
        <v>385.62355695712102</v>
      </c>
      <c r="F12" t="s">
        <v>51</v>
      </c>
    </row>
    <row r="13" spans="1:6" x14ac:dyDescent="0.25">
      <c r="A13" t="s">
        <v>48</v>
      </c>
      <c r="B13" t="s">
        <v>9</v>
      </c>
      <c r="D13">
        <v>9.8364673337628457</v>
      </c>
      <c r="E13">
        <v>56.848469081814692</v>
      </c>
      <c r="F13" t="s">
        <v>51</v>
      </c>
    </row>
    <row r="14" spans="1:6" x14ac:dyDescent="0.25">
      <c r="A14" t="s">
        <v>44</v>
      </c>
      <c r="B14" t="s">
        <v>64</v>
      </c>
      <c r="D14">
        <v>79.83626323474401</v>
      </c>
      <c r="E14">
        <v>62.979518633261485</v>
      </c>
      <c r="F14" t="s">
        <v>51</v>
      </c>
    </row>
    <row r="15" spans="1:6" x14ac:dyDescent="0.25">
      <c r="A15" t="s">
        <v>45</v>
      </c>
      <c r="B15" t="s">
        <v>64</v>
      </c>
      <c r="D15">
        <v>39.62376384298468</v>
      </c>
      <c r="E15">
        <v>16.70529305184543</v>
      </c>
      <c r="F15" t="s">
        <v>51</v>
      </c>
    </row>
    <row r="16" spans="1:6" x14ac:dyDescent="0.25">
      <c r="A16" t="s">
        <v>46</v>
      </c>
      <c r="B16" t="s">
        <v>64</v>
      </c>
      <c r="D16">
        <v>161.97510560229361</v>
      </c>
      <c r="E16">
        <v>107.06170382902727</v>
      </c>
      <c r="F16" t="s">
        <v>51</v>
      </c>
    </row>
    <row r="17" spans="1:6" x14ac:dyDescent="0.25">
      <c r="A17" t="s">
        <v>47</v>
      </c>
      <c r="B17" t="s">
        <v>64</v>
      </c>
      <c r="D17">
        <v>312.61236971897097</v>
      </c>
      <c r="E17">
        <v>222.28022381122003</v>
      </c>
      <c r="F17" t="s">
        <v>51</v>
      </c>
    </row>
    <row r="18" spans="1:6" x14ac:dyDescent="0.25">
      <c r="A18" t="s">
        <v>0</v>
      </c>
      <c r="B18" t="s">
        <v>64</v>
      </c>
      <c r="D18">
        <v>269.48920904255476</v>
      </c>
      <c r="E18">
        <v>366.24757396901725</v>
      </c>
      <c r="F18" t="s">
        <v>51</v>
      </c>
    </row>
    <row r="19" spans="1:6" x14ac:dyDescent="0.25">
      <c r="A19" t="s">
        <v>48</v>
      </c>
      <c r="B19" t="s">
        <v>64</v>
      </c>
      <c r="D19">
        <v>8.7862712137376597</v>
      </c>
      <c r="E19">
        <v>43.760397041892929</v>
      </c>
      <c r="F19" t="s">
        <v>51</v>
      </c>
    </row>
    <row r="20" spans="1:6" x14ac:dyDescent="0.25">
      <c r="A20" t="s">
        <v>44</v>
      </c>
      <c r="B20" t="s">
        <v>10</v>
      </c>
      <c r="D20">
        <v>81.197554658412827</v>
      </c>
      <c r="E20">
        <v>61.673453264719988</v>
      </c>
      <c r="F20" t="s">
        <v>51</v>
      </c>
    </row>
    <row r="21" spans="1:6" x14ac:dyDescent="0.25">
      <c r="A21" t="s">
        <v>45</v>
      </c>
      <c r="B21" t="s">
        <v>10</v>
      </c>
      <c r="D21">
        <v>36.213184631154689</v>
      </c>
      <c r="E21">
        <v>17.861835918325152</v>
      </c>
      <c r="F21" t="s">
        <v>51</v>
      </c>
    </row>
    <row r="22" spans="1:6" x14ac:dyDescent="0.25">
      <c r="A22" t="s">
        <v>46</v>
      </c>
      <c r="B22" t="s">
        <v>10</v>
      </c>
      <c r="D22">
        <v>147.48410912873277</v>
      </c>
      <c r="E22">
        <v>85.552267374278998</v>
      </c>
      <c r="F22" t="s">
        <v>51</v>
      </c>
    </row>
    <row r="23" spans="1:6" x14ac:dyDescent="0.25">
      <c r="A23" t="s">
        <v>47</v>
      </c>
      <c r="B23" t="s">
        <v>10</v>
      </c>
      <c r="D23">
        <v>279.40357892431399</v>
      </c>
      <c r="E23">
        <v>141.98764641849795</v>
      </c>
      <c r="F23" t="s">
        <v>51</v>
      </c>
    </row>
    <row r="24" spans="1:6" x14ac:dyDescent="0.25">
      <c r="A24" t="s">
        <v>0</v>
      </c>
      <c r="B24" t="s">
        <v>10</v>
      </c>
      <c r="D24">
        <v>273.49187746633811</v>
      </c>
      <c r="E24">
        <v>388.23710774625602</v>
      </c>
      <c r="F24" t="s">
        <v>51</v>
      </c>
    </row>
    <row r="25" spans="1:6" x14ac:dyDescent="0.25">
      <c r="A25" t="s">
        <v>48</v>
      </c>
      <c r="B25" t="s">
        <v>10</v>
      </c>
      <c r="D25">
        <v>9.4619610541941519</v>
      </c>
      <c r="E25">
        <v>56.069389456835289</v>
      </c>
      <c r="F25" t="s">
        <v>51</v>
      </c>
    </row>
    <row r="26" spans="1:6" x14ac:dyDescent="0.25">
      <c r="A26" t="s">
        <v>44</v>
      </c>
      <c r="B26" t="s">
        <v>65</v>
      </c>
      <c r="D26">
        <v>79.931654679716203</v>
      </c>
      <c r="E26">
        <v>62.906955481779619</v>
      </c>
      <c r="F26" t="s">
        <v>51</v>
      </c>
    </row>
    <row r="27" spans="1:6" x14ac:dyDescent="0.25">
      <c r="A27" t="s">
        <v>45</v>
      </c>
      <c r="B27" t="s">
        <v>65</v>
      </c>
      <c r="D27">
        <v>39.903052384457226</v>
      </c>
      <c r="E27">
        <v>17.577461031187987</v>
      </c>
      <c r="F27" t="s">
        <v>51</v>
      </c>
    </row>
    <row r="28" spans="1:6" x14ac:dyDescent="0.25">
      <c r="A28" t="s">
        <v>46</v>
      </c>
      <c r="B28" t="s">
        <v>65</v>
      </c>
      <c r="D28">
        <v>161.1555739916935</v>
      </c>
      <c r="E28">
        <v>95.564895665498184</v>
      </c>
      <c r="F28" t="s">
        <v>51</v>
      </c>
    </row>
    <row r="29" spans="1:6" x14ac:dyDescent="0.25">
      <c r="A29" t="s">
        <v>47</v>
      </c>
      <c r="B29" t="s">
        <v>65</v>
      </c>
      <c r="D29">
        <v>313.14921087951012</v>
      </c>
      <c r="E29">
        <v>224.09178457675986</v>
      </c>
      <c r="F29" t="s">
        <v>51</v>
      </c>
    </row>
    <row r="30" spans="1:6" x14ac:dyDescent="0.25">
      <c r="A30" t="s">
        <v>0</v>
      </c>
      <c r="B30" t="s">
        <v>65</v>
      </c>
      <c r="D30">
        <v>269.00362901620412</v>
      </c>
      <c r="E30">
        <v>363.40083985589268</v>
      </c>
      <c r="F30" t="s">
        <v>51</v>
      </c>
    </row>
    <row r="31" spans="1:6" x14ac:dyDescent="0.25">
      <c r="A31" t="s">
        <v>48</v>
      </c>
      <c r="B31" t="s">
        <v>65</v>
      </c>
      <c r="D31">
        <v>8.8407737744186505</v>
      </c>
      <c r="E31">
        <v>44.934403070552932</v>
      </c>
      <c r="F3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34D2-4A65-4FBB-883B-D925A34C23CA}">
  <dimension ref="A1:G28"/>
  <sheetViews>
    <sheetView workbookViewId="0">
      <selection activeCell="F1" sqref="F1"/>
    </sheetView>
  </sheetViews>
  <sheetFormatPr defaultRowHeight="13.8" x14ac:dyDescent="0.25"/>
  <cols>
    <col min="1" max="1" width="24.19921875" customWidth="1"/>
    <col min="3" max="3" width="10.8984375" customWidth="1"/>
  </cols>
  <sheetData>
    <row r="1" spans="1:7" x14ac:dyDescent="0.25">
      <c r="A1" t="s">
        <v>42</v>
      </c>
      <c r="B1" t="s">
        <v>43</v>
      </c>
      <c r="C1" t="s">
        <v>9</v>
      </c>
      <c r="D1" t="s">
        <v>64</v>
      </c>
      <c r="E1" t="s">
        <v>10</v>
      </c>
      <c r="F1" t="s">
        <v>65</v>
      </c>
      <c r="G1" t="s">
        <v>50</v>
      </c>
    </row>
    <row r="2" spans="1:7" x14ac:dyDescent="0.25">
      <c r="A2" t="s">
        <v>40</v>
      </c>
      <c r="B2" t="s">
        <v>12</v>
      </c>
      <c r="C2">
        <v>-38.368616897092693</v>
      </c>
      <c r="D2">
        <v>-29.590660515415934</v>
      </c>
      <c r="E2">
        <v>-50.418564017290599</v>
      </c>
      <c r="F2">
        <v>-30.270459664865783</v>
      </c>
      <c r="G2" t="s">
        <v>51</v>
      </c>
    </row>
    <row r="3" spans="1:7" x14ac:dyDescent="0.25">
      <c r="A3" t="s">
        <v>40</v>
      </c>
      <c r="B3" t="s">
        <v>13</v>
      </c>
      <c r="C3">
        <v>-20.049814414737209</v>
      </c>
      <c r="D3">
        <v>-14.633503553328199</v>
      </c>
      <c r="E3">
        <v>-26.800400451109024</v>
      </c>
      <c r="F3">
        <v>-14.090111771760656</v>
      </c>
      <c r="G3" t="s">
        <v>51</v>
      </c>
    </row>
    <row r="4" spans="1:7" x14ac:dyDescent="0.25">
      <c r="A4" t="s">
        <v>40</v>
      </c>
      <c r="B4" t="s">
        <v>14</v>
      </c>
      <c r="C4">
        <v>-8.2386273042300466</v>
      </c>
      <c r="D4">
        <v>-3.8657050361991696</v>
      </c>
      <c r="E4">
        <v>-10.033700117639299</v>
      </c>
      <c r="F4">
        <v>-4.4294608516311325</v>
      </c>
      <c r="G4" t="s">
        <v>51</v>
      </c>
    </row>
    <row r="5" spans="1:7" x14ac:dyDescent="0.25">
      <c r="A5" t="s">
        <v>40</v>
      </c>
      <c r="B5" t="s">
        <v>15</v>
      </c>
      <c r="C5">
        <v>-4.9966646348659447</v>
      </c>
      <c r="D5">
        <v>-2.04465656622</v>
      </c>
      <c r="E5">
        <v>-5.497189963700075</v>
      </c>
      <c r="F5">
        <v>-1.9843488829514631</v>
      </c>
      <c r="G5" t="s">
        <v>51</v>
      </c>
    </row>
    <row r="6" spans="1:7" x14ac:dyDescent="0.25">
      <c r="A6" t="s">
        <v>40</v>
      </c>
      <c r="B6" t="s">
        <v>16</v>
      </c>
      <c r="C6">
        <v>0.16361395395615552</v>
      </c>
      <c r="D6">
        <v>0.44761574247287123</v>
      </c>
      <c r="E6">
        <v>-0.45989496156273096</v>
      </c>
      <c r="F6">
        <v>0.37276930819575754</v>
      </c>
      <c r="G6" t="s">
        <v>51</v>
      </c>
    </row>
    <row r="7" spans="1:7" x14ac:dyDescent="0.25">
      <c r="A7" t="s">
        <v>40</v>
      </c>
      <c r="B7" t="s">
        <v>17</v>
      </c>
      <c r="C7">
        <v>-3.1549388073503328</v>
      </c>
      <c r="D7">
        <v>-2.5892717387738799</v>
      </c>
      <c r="E7">
        <v>-4.4707855616124395</v>
      </c>
      <c r="F7">
        <v>-2.4974189844737822</v>
      </c>
      <c r="G7" t="s">
        <v>51</v>
      </c>
    </row>
    <row r="8" spans="1:7" x14ac:dyDescent="0.25">
      <c r="A8" t="s">
        <v>40</v>
      </c>
      <c r="B8" t="s">
        <v>18</v>
      </c>
      <c r="C8">
        <v>2.1527093135557345</v>
      </c>
      <c r="D8">
        <v>1.8537217678509528</v>
      </c>
      <c r="E8">
        <v>3.3353842881462974</v>
      </c>
      <c r="F8">
        <v>1.8349295999812998</v>
      </c>
      <c r="G8" t="s">
        <v>51</v>
      </c>
    </row>
    <row r="9" spans="1:7" x14ac:dyDescent="0.25">
      <c r="A9" t="s">
        <v>40</v>
      </c>
      <c r="B9" t="s">
        <v>19</v>
      </c>
      <c r="C9">
        <v>-0.86703972193405032</v>
      </c>
      <c r="D9">
        <v>-0.59985544357225529</v>
      </c>
      <c r="E9">
        <v>-0.27412320652365724</v>
      </c>
      <c r="F9">
        <v>-0.8205765146850692</v>
      </c>
      <c r="G9" t="s">
        <v>51</v>
      </c>
    </row>
    <row r="10" spans="1:7" x14ac:dyDescent="0.25">
      <c r="A10" t="s">
        <v>40</v>
      </c>
      <c r="B10" t="s">
        <v>20</v>
      </c>
      <c r="C10">
        <v>-0.56332224793947427</v>
      </c>
      <c r="D10">
        <v>-0.31015199406691951</v>
      </c>
      <c r="E10">
        <v>-0.16881161353818205</v>
      </c>
      <c r="F10">
        <v>-0.31238752385553481</v>
      </c>
      <c r="G10" t="s">
        <v>51</v>
      </c>
    </row>
    <row r="11" spans="1:7" x14ac:dyDescent="0.25">
      <c r="A11" t="s">
        <v>39</v>
      </c>
      <c r="B11" t="s">
        <v>21</v>
      </c>
      <c r="C11">
        <v>0.23951431391008346</v>
      </c>
      <c r="D11">
        <v>1.3584691144179499</v>
      </c>
      <c r="E11">
        <v>-0.31870234178916235</v>
      </c>
      <c r="F11">
        <v>1.3294837384112561</v>
      </c>
      <c r="G11" t="s">
        <v>51</v>
      </c>
    </row>
    <row r="12" spans="1:7" x14ac:dyDescent="0.25">
      <c r="A12" t="s">
        <v>39</v>
      </c>
      <c r="B12" t="s">
        <v>22</v>
      </c>
      <c r="C12">
        <v>-0.41460430480755728</v>
      </c>
      <c r="D12">
        <v>-0.41106410285780526</v>
      </c>
      <c r="E12">
        <v>-0.19467818503443665</v>
      </c>
      <c r="F12">
        <v>-0.40799032205910163</v>
      </c>
      <c r="G12" t="s">
        <v>51</v>
      </c>
    </row>
    <row r="13" spans="1:7" x14ac:dyDescent="0.25">
      <c r="A13" t="s">
        <v>39</v>
      </c>
      <c r="B13" t="s">
        <v>23</v>
      </c>
      <c r="C13">
        <v>-0.28333827895640562</v>
      </c>
      <c r="D13">
        <v>0.16550877712507789</v>
      </c>
      <c r="E13">
        <v>-0.18360973434976618</v>
      </c>
      <c r="F13">
        <v>0.1649246144334896</v>
      </c>
      <c r="G13" t="s">
        <v>51</v>
      </c>
    </row>
    <row r="14" spans="1:7" x14ac:dyDescent="0.25">
      <c r="A14" t="s">
        <v>39</v>
      </c>
      <c r="B14" t="s">
        <v>24</v>
      </c>
      <c r="C14">
        <v>-6.2760186424061393E-2</v>
      </c>
      <c r="D14">
        <v>-1.0970969005663538E-3</v>
      </c>
      <c r="E14">
        <v>0.12199917874007978</v>
      </c>
      <c r="F14">
        <v>1.4684602174755152E-3</v>
      </c>
      <c r="G14" t="s">
        <v>51</v>
      </c>
    </row>
    <row r="15" spans="1:7" x14ac:dyDescent="0.25">
      <c r="A15" t="s">
        <v>39</v>
      </c>
      <c r="B15" t="s">
        <v>25</v>
      </c>
      <c r="C15">
        <v>-0.58828289118018773</v>
      </c>
      <c r="D15">
        <v>-0.36771885115727354</v>
      </c>
      <c r="E15">
        <v>0.64406167893291533</v>
      </c>
      <c r="F15">
        <v>-0.30865929414572735</v>
      </c>
      <c r="G15" t="s">
        <v>51</v>
      </c>
    </row>
    <row r="16" spans="1:7" x14ac:dyDescent="0.25">
      <c r="A16" t="s">
        <v>39</v>
      </c>
      <c r="B16" t="s">
        <v>26</v>
      </c>
      <c r="C16">
        <v>0.52761363202883582</v>
      </c>
      <c r="D16">
        <v>7.2429195474124131E-2</v>
      </c>
      <c r="E16">
        <v>-0.9081614062178226</v>
      </c>
      <c r="F16">
        <v>0.15598241064382129</v>
      </c>
      <c r="G16" t="s">
        <v>51</v>
      </c>
    </row>
    <row r="17" spans="1:7" x14ac:dyDescent="0.25">
      <c r="A17" t="s">
        <v>39</v>
      </c>
      <c r="B17" t="s">
        <v>27</v>
      </c>
      <c r="C17">
        <v>-3.6304876546968416</v>
      </c>
      <c r="D17">
        <v>-3.3237671841517549</v>
      </c>
      <c r="E17">
        <v>-4.2518923063331941</v>
      </c>
      <c r="F17">
        <v>-3.3067324260108437</v>
      </c>
      <c r="G17" t="s">
        <v>51</v>
      </c>
    </row>
    <row r="18" spans="1:7" x14ac:dyDescent="0.25">
      <c r="A18" t="s">
        <v>39</v>
      </c>
      <c r="B18" t="s">
        <v>28</v>
      </c>
      <c r="C18">
        <v>-1.0801941740513792</v>
      </c>
      <c r="D18">
        <v>-0.84078423147007575</v>
      </c>
      <c r="E18">
        <v>-1.0347407876002135</v>
      </c>
      <c r="F18">
        <v>-0.75428793958774021</v>
      </c>
      <c r="G18" t="s">
        <v>51</v>
      </c>
    </row>
    <row r="19" spans="1:7" x14ac:dyDescent="0.25">
      <c r="A19" t="s">
        <v>39</v>
      </c>
      <c r="B19" t="s">
        <v>29</v>
      </c>
      <c r="C19">
        <v>-0.22935779557590999</v>
      </c>
      <c r="D19">
        <v>-0.14296386156972368</v>
      </c>
      <c r="E19">
        <v>-0.13140210537915939</v>
      </c>
      <c r="F19">
        <v>-0.13443180133214025</v>
      </c>
      <c r="G19" t="s">
        <v>51</v>
      </c>
    </row>
    <row r="20" spans="1:7" x14ac:dyDescent="0.25">
      <c r="A20" t="s">
        <v>39</v>
      </c>
      <c r="B20" t="s">
        <v>30</v>
      </c>
      <c r="C20">
        <v>-4.3985186031904482E-2</v>
      </c>
      <c r="D20">
        <v>0.19614296629135075</v>
      </c>
      <c r="E20">
        <v>1.3693800494486441</v>
      </c>
      <c r="F20">
        <v>0.23867637655900506</v>
      </c>
      <c r="G20" t="s">
        <v>51</v>
      </c>
    </row>
    <row r="21" spans="1:7" x14ac:dyDescent="0.25">
      <c r="A21" t="s">
        <v>39</v>
      </c>
      <c r="B21" t="s">
        <v>31</v>
      </c>
      <c r="C21">
        <v>-0.19297687916101777</v>
      </c>
      <c r="D21">
        <v>-7.0758981478378863E-2</v>
      </c>
      <c r="E21">
        <v>0.61996741222258545</v>
      </c>
      <c r="F21">
        <v>-6.85691542303416E-2</v>
      </c>
      <c r="G21" t="s">
        <v>51</v>
      </c>
    </row>
    <row r="22" spans="1:7" x14ac:dyDescent="0.25">
      <c r="A22" t="s">
        <v>39</v>
      </c>
      <c r="B22" t="s">
        <v>32</v>
      </c>
      <c r="C22">
        <v>-0.36069413126648281</v>
      </c>
      <c r="D22">
        <v>-0.29193064311218792</v>
      </c>
      <c r="E22">
        <v>-0.32976233772580305</v>
      </c>
      <c r="F22">
        <v>-0.28395898752498067</v>
      </c>
      <c r="G22" t="s">
        <v>51</v>
      </c>
    </row>
    <row r="23" spans="1:7" x14ac:dyDescent="0.25">
      <c r="A23" t="s">
        <v>41</v>
      </c>
      <c r="B23" t="s">
        <v>33</v>
      </c>
      <c r="C23">
        <v>-18.480233130283075</v>
      </c>
      <c r="D23">
        <v>-14.740124017727471</v>
      </c>
      <c r="E23">
        <v>-10.230916923194703</v>
      </c>
      <c r="F23">
        <v>-14.358787524529943</v>
      </c>
      <c r="G23" t="s">
        <v>51</v>
      </c>
    </row>
    <row r="24" spans="1:7" x14ac:dyDescent="0.25">
      <c r="A24" t="s">
        <v>41</v>
      </c>
      <c r="B24" t="s">
        <v>34</v>
      </c>
      <c r="C24">
        <v>-2.3631191937363383</v>
      </c>
      <c r="D24">
        <v>-2.0219146498793026</v>
      </c>
      <c r="E24">
        <v>-1.4381695872204092</v>
      </c>
      <c r="F24">
        <v>-2.0211311861706811</v>
      </c>
      <c r="G24" t="s">
        <v>51</v>
      </c>
    </row>
    <row r="25" spans="1:7" x14ac:dyDescent="0.25">
      <c r="A25" t="s">
        <v>41</v>
      </c>
      <c r="B25" t="s">
        <v>35</v>
      </c>
      <c r="C25">
        <v>-6.787348956452905</v>
      </c>
      <c r="D25">
        <v>-2.4815651850507927</v>
      </c>
      <c r="E25">
        <v>-7.4489233788790905</v>
      </c>
      <c r="F25">
        <v>-2.6773806471299428</v>
      </c>
      <c r="G25" t="s">
        <v>51</v>
      </c>
    </row>
    <row r="26" spans="1:7" x14ac:dyDescent="0.25">
      <c r="A26" t="s">
        <v>41</v>
      </c>
      <c r="B26" t="s">
        <v>36</v>
      </c>
      <c r="C26">
        <v>-0.81192365278304046</v>
      </c>
      <c r="D26">
        <v>-0.26217376355023086</v>
      </c>
      <c r="E26">
        <v>-0.95372503345867987</v>
      </c>
      <c r="F26">
        <v>-0.22965042054131923</v>
      </c>
      <c r="G26" t="s">
        <v>51</v>
      </c>
    </row>
    <row r="27" spans="1:7" x14ac:dyDescent="0.25">
      <c r="A27" t="s">
        <v>41</v>
      </c>
      <c r="B27" t="s">
        <v>37</v>
      </c>
      <c r="C27">
        <v>-7.5736626820307726E-2</v>
      </c>
      <c r="D27">
        <v>1.7000584167107039E-2</v>
      </c>
      <c r="E27">
        <v>0.13435249482539038</v>
      </c>
      <c r="F27">
        <v>2.0442143474182738E-2</v>
      </c>
      <c r="G27" t="s">
        <v>51</v>
      </c>
    </row>
    <row r="28" spans="1:7" x14ac:dyDescent="0.25">
      <c r="A28" t="s">
        <v>41</v>
      </c>
      <c r="B28" t="s">
        <v>38</v>
      </c>
      <c r="C28">
        <v>0.21665446498660132</v>
      </c>
      <c r="D28">
        <v>0.4664716070943033</v>
      </c>
      <c r="E28">
        <v>0.23998446411530255</v>
      </c>
      <c r="F28">
        <v>0.48627165469588485</v>
      </c>
      <c r="G28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28AB-CE8B-4339-B74B-9037857D84F4}">
  <dimension ref="A1:E41"/>
  <sheetViews>
    <sheetView topLeftCell="A16" workbookViewId="0">
      <selection activeCell="B34" sqref="B34:B41"/>
    </sheetView>
  </sheetViews>
  <sheetFormatPr defaultRowHeight="13.8" x14ac:dyDescent="0.25"/>
  <cols>
    <col min="1" max="1" width="20.796875" customWidth="1"/>
    <col min="2" max="2" width="13.09765625" customWidth="1"/>
  </cols>
  <sheetData>
    <row r="1" spans="1:5" x14ac:dyDescent="0.25">
      <c r="A1" t="s">
        <v>49</v>
      </c>
      <c r="B1" t="s">
        <v>8</v>
      </c>
      <c r="C1">
        <v>2015</v>
      </c>
      <c r="D1">
        <v>2030</v>
      </c>
      <c r="E1">
        <v>2050</v>
      </c>
    </row>
    <row r="2" spans="1:5" x14ac:dyDescent="0.25">
      <c r="A2" t="s">
        <v>53</v>
      </c>
      <c r="B2" t="s">
        <v>11</v>
      </c>
      <c r="C2">
        <v>83.086130575669088</v>
      </c>
    </row>
    <row r="3" spans="1:5" x14ac:dyDescent="0.25">
      <c r="A3" t="s">
        <v>54</v>
      </c>
      <c r="B3" t="s">
        <v>11</v>
      </c>
      <c r="C3">
        <v>12.937359441670896</v>
      </c>
    </row>
    <row r="4" spans="1:5" x14ac:dyDescent="0.25">
      <c r="A4" t="s">
        <v>55</v>
      </c>
      <c r="B4" t="s">
        <v>11</v>
      </c>
      <c r="C4">
        <v>9.5484101417089082</v>
      </c>
    </row>
    <row r="5" spans="1:5" x14ac:dyDescent="0.25">
      <c r="A5" t="s">
        <v>56</v>
      </c>
      <c r="B5" t="s">
        <v>11</v>
      </c>
      <c r="C5">
        <v>64.186047215669078</v>
      </c>
    </row>
    <row r="6" spans="1:5" x14ac:dyDescent="0.25">
      <c r="A6" t="s">
        <v>63</v>
      </c>
      <c r="B6" t="s">
        <v>11</v>
      </c>
      <c r="C6">
        <v>0</v>
      </c>
    </row>
    <row r="7" spans="1:5" x14ac:dyDescent="0.25">
      <c r="A7" t="s">
        <v>57</v>
      </c>
      <c r="B7" t="s">
        <v>11</v>
      </c>
      <c r="C7">
        <v>4.5650978841665459</v>
      </c>
    </row>
    <row r="8" spans="1:5" x14ac:dyDescent="0.25">
      <c r="A8" t="s">
        <v>58</v>
      </c>
      <c r="B8" t="s">
        <v>11</v>
      </c>
      <c r="C8">
        <v>4.0981101215403388</v>
      </c>
    </row>
    <row r="9" spans="1:5" x14ac:dyDescent="0.25">
      <c r="A9" t="s">
        <v>59</v>
      </c>
      <c r="B9" t="s">
        <v>11</v>
      </c>
      <c r="C9">
        <v>0.18395584260003936</v>
      </c>
    </row>
    <row r="10" spans="1:5" x14ac:dyDescent="0.25">
      <c r="A10" t="s">
        <v>53</v>
      </c>
      <c r="B10" t="s">
        <v>9</v>
      </c>
      <c r="D10">
        <v>87.659526200444418</v>
      </c>
      <c r="E10">
        <v>65.552759150723844</v>
      </c>
    </row>
    <row r="11" spans="1:5" x14ac:dyDescent="0.25">
      <c r="A11" t="s">
        <v>54</v>
      </c>
      <c r="B11" t="s">
        <v>9</v>
      </c>
      <c r="D11">
        <v>13.5665846656815</v>
      </c>
      <c r="E11">
        <v>59.421278476998936</v>
      </c>
    </row>
    <row r="12" spans="1:5" x14ac:dyDescent="0.25">
      <c r="A12" t="s">
        <v>55</v>
      </c>
      <c r="B12" t="s">
        <v>9</v>
      </c>
      <c r="D12">
        <v>37.951493804322155</v>
      </c>
      <c r="E12">
        <v>5.2891084815652452</v>
      </c>
    </row>
    <row r="13" spans="1:5" x14ac:dyDescent="0.25">
      <c r="A13" t="s">
        <v>56</v>
      </c>
      <c r="B13" t="s">
        <v>9</v>
      </c>
      <c r="D13">
        <v>179.18526573150808</v>
      </c>
      <c r="E13">
        <v>224.57246828809218</v>
      </c>
    </row>
    <row r="14" spans="1:5" x14ac:dyDescent="0.25">
      <c r="A14" t="s">
        <v>63</v>
      </c>
      <c r="B14" t="s">
        <v>9</v>
      </c>
      <c r="D14">
        <v>1.1544113791352555</v>
      </c>
      <c r="E14">
        <v>26.781532139613905</v>
      </c>
    </row>
    <row r="15" spans="1:5" x14ac:dyDescent="0.25">
      <c r="A15" t="s">
        <v>57</v>
      </c>
      <c r="B15" t="s">
        <v>9</v>
      </c>
      <c r="D15">
        <v>24.578470137935611</v>
      </c>
      <c r="E15">
        <v>50.799067895744855</v>
      </c>
    </row>
    <row r="16" spans="1:5" x14ac:dyDescent="0.25">
      <c r="A16" t="s">
        <v>58</v>
      </c>
      <c r="B16" t="s">
        <v>9</v>
      </c>
      <c r="D16">
        <v>8.9542064858656261</v>
      </c>
      <c r="E16">
        <v>7.6372195529614668</v>
      </c>
    </row>
    <row r="17" spans="1:5" x14ac:dyDescent="0.25">
      <c r="A17" t="s">
        <v>59</v>
      </c>
      <c r="B17" t="s">
        <v>9</v>
      </c>
      <c r="D17">
        <v>0.40775613720582443</v>
      </c>
      <c r="E17">
        <v>0.55059812230045868</v>
      </c>
    </row>
    <row r="18" spans="1:5" x14ac:dyDescent="0.25">
      <c r="A18" t="s">
        <v>53</v>
      </c>
      <c r="B18" t="s">
        <v>64</v>
      </c>
      <c r="D18">
        <v>79.836263234744038</v>
      </c>
      <c r="E18">
        <v>62.979518633261499</v>
      </c>
    </row>
    <row r="19" spans="1:5" x14ac:dyDescent="0.25">
      <c r="A19" t="s">
        <v>54</v>
      </c>
      <c r="B19" t="s">
        <v>64</v>
      </c>
      <c r="D19">
        <v>50.804643129294639</v>
      </c>
      <c r="E19">
        <v>81.72706438449525</v>
      </c>
    </row>
    <row r="20" spans="1:5" x14ac:dyDescent="0.25">
      <c r="A20" t="s">
        <v>55</v>
      </c>
      <c r="B20" t="s">
        <v>64</v>
      </c>
      <c r="D20">
        <v>23.436626841597132</v>
      </c>
      <c r="E20">
        <v>5.2794978402875357</v>
      </c>
    </row>
    <row r="21" spans="1:5" x14ac:dyDescent="0.25">
      <c r="A21" t="s">
        <v>56</v>
      </c>
      <c r="B21" t="s">
        <v>64</v>
      </c>
      <c r="D21">
        <v>144.05350021255805</v>
      </c>
      <c r="E21">
        <v>207.64669676386046</v>
      </c>
    </row>
    <row r="22" spans="1:5" x14ac:dyDescent="0.25">
      <c r="A22" t="s">
        <v>63</v>
      </c>
      <c r="B22" t="s">
        <v>64</v>
      </c>
      <c r="D22">
        <v>4.4329800395786236</v>
      </c>
      <c r="E22">
        <v>22.374229655097054</v>
      </c>
    </row>
    <row r="23" spans="1:5" x14ac:dyDescent="0.25">
      <c r="A23" t="s">
        <v>57</v>
      </c>
      <c r="B23" t="s">
        <v>64</v>
      </c>
      <c r="D23">
        <v>22.656510758790837</v>
      </c>
      <c r="E23">
        <v>52.030139001554296</v>
      </c>
    </row>
    <row r="24" spans="1:5" x14ac:dyDescent="0.25">
      <c r="A24" t="s">
        <v>58</v>
      </c>
      <c r="B24" t="s">
        <v>64</v>
      </c>
      <c r="D24">
        <v>7.1012461950329255</v>
      </c>
      <c r="E24">
        <v>7.5248031550291472</v>
      </c>
    </row>
    <row r="25" spans="1:5" x14ac:dyDescent="0.25">
      <c r="A25" t="s">
        <v>59</v>
      </c>
      <c r="B25" t="s">
        <v>64</v>
      </c>
      <c r="D25">
        <v>0.37024644772979959</v>
      </c>
      <c r="E25">
        <v>0.51978156506477402</v>
      </c>
    </row>
    <row r="26" spans="1:5" x14ac:dyDescent="0.25">
      <c r="A26" t="s">
        <v>53</v>
      </c>
      <c r="B26" t="s">
        <v>10</v>
      </c>
      <c r="D26">
        <v>81.197554658412827</v>
      </c>
      <c r="E26">
        <v>61.673453264719974</v>
      </c>
    </row>
    <row r="27" spans="1:5" x14ac:dyDescent="0.25">
      <c r="A27" t="s">
        <v>54</v>
      </c>
      <c r="B27" t="s">
        <v>10</v>
      </c>
      <c r="D27">
        <v>16.609335610214998</v>
      </c>
      <c r="E27">
        <v>79.080978094511607</v>
      </c>
    </row>
    <row r="28" spans="1:5" x14ac:dyDescent="0.25">
      <c r="A28" t="s">
        <v>55</v>
      </c>
      <c r="B28" t="s">
        <v>10</v>
      </c>
      <c r="D28">
        <v>31.878246702525509</v>
      </c>
      <c r="E28">
        <v>5.6232216890643523</v>
      </c>
    </row>
    <row r="29" spans="1:5" x14ac:dyDescent="0.25">
      <c r="A29" t="s">
        <v>56</v>
      </c>
      <c r="B29" t="s">
        <v>10</v>
      </c>
      <c r="D29">
        <v>171.01511100627556</v>
      </c>
      <c r="E29">
        <v>220.36762730793905</v>
      </c>
    </row>
    <row r="30" spans="1:5" x14ac:dyDescent="0.25">
      <c r="A30" t="s">
        <v>63</v>
      </c>
      <c r="B30" t="s">
        <v>10</v>
      </c>
      <c r="D30">
        <v>1.0544111891056167</v>
      </c>
      <c r="E30">
        <v>27.927782986242846</v>
      </c>
    </row>
    <row r="31" spans="1:5" x14ac:dyDescent="0.25">
      <c r="A31" t="s">
        <v>57</v>
      </c>
      <c r="B31" t="s">
        <v>10</v>
      </c>
      <c r="D31">
        <v>25.380388383619614</v>
      </c>
      <c r="E31">
        <v>52.010105729088345</v>
      </c>
    </row>
    <row r="32" spans="1:5" x14ac:dyDescent="0.25">
      <c r="A32" t="s">
        <v>58</v>
      </c>
      <c r="B32" t="s">
        <v>10</v>
      </c>
      <c r="D32">
        <v>10.131726719924986</v>
      </c>
      <c r="E32">
        <v>8.2803130072764493</v>
      </c>
    </row>
    <row r="33" spans="1:5" x14ac:dyDescent="0.25">
      <c r="A33" t="s">
        <v>59</v>
      </c>
      <c r="B33" t="s">
        <v>10</v>
      </c>
      <c r="D33">
        <v>0.39384513558448453</v>
      </c>
      <c r="E33">
        <v>0.58404517797103628</v>
      </c>
    </row>
    <row r="34" spans="1:5" x14ac:dyDescent="0.25">
      <c r="A34" t="s">
        <v>53</v>
      </c>
      <c r="B34" t="s">
        <v>65</v>
      </c>
      <c r="D34">
        <v>79.931654679716203</v>
      </c>
      <c r="E34">
        <v>62.906955481779626</v>
      </c>
    </row>
    <row r="35" spans="1:5" x14ac:dyDescent="0.25">
      <c r="A35" t="s">
        <v>54</v>
      </c>
      <c r="B35" t="s">
        <v>65</v>
      </c>
      <c r="D35">
        <v>49.581757352148294</v>
      </c>
      <c r="E35">
        <v>103.36994698917779</v>
      </c>
    </row>
    <row r="36" spans="1:5" x14ac:dyDescent="0.25">
      <c r="A36" t="s">
        <v>55</v>
      </c>
      <c r="B36" t="s">
        <v>65</v>
      </c>
      <c r="D36">
        <v>25.074052506815026</v>
      </c>
      <c r="E36">
        <v>4.6755698179823515</v>
      </c>
    </row>
    <row r="37" spans="1:5" x14ac:dyDescent="0.25">
      <c r="A37" t="s">
        <v>56</v>
      </c>
      <c r="B37" t="s">
        <v>65</v>
      </c>
      <c r="D37">
        <v>143.75276001552643</v>
      </c>
      <c r="E37">
        <v>202.63288926216546</v>
      </c>
    </row>
    <row r="38" spans="1:5" x14ac:dyDescent="0.25">
      <c r="A38" t="s">
        <v>63</v>
      </c>
      <c r="B38" t="s">
        <v>65</v>
      </c>
      <c r="D38">
        <v>4.4243168518829217</v>
      </c>
      <c r="E38">
        <v>23.491113698255848</v>
      </c>
    </row>
    <row r="39" spans="1:5" x14ac:dyDescent="0.25">
      <c r="A39" t="s">
        <v>57</v>
      </c>
      <c r="B39" t="s">
        <v>65</v>
      </c>
      <c r="D39">
        <v>22.548025605016587</v>
      </c>
      <c r="E39">
        <v>52.30508369003487</v>
      </c>
    </row>
    <row r="40" spans="1:5" x14ac:dyDescent="0.25">
      <c r="A40" t="s">
        <v>58</v>
      </c>
      <c r="B40" t="s">
        <v>65</v>
      </c>
      <c r="D40">
        <v>7.1419572099782922</v>
      </c>
      <c r="E40">
        <v>7.6465409528503372</v>
      </c>
    </row>
    <row r="41" spans="1:5" x14ac:dyDescent="0.25">
      <c r="A41" t="s">
        <v>59</v>
      </c>
      <c r="B41" t="s">
        <v>65</v>
      </c>
      <c r="D41">
        <v>0.37051176334769104</v>
      </c>
      <c r="E41">
        <v>0.54715164205234312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2F43-488B-4600-A383-D34BC5674B0C}">
  <dimension ref="A1:G28"/>
  <sheetViews>
    <sheetView workbookViewId="0">
      <selection activeCell="F2" sqref="F2"/>
    </sheetView>
  </sheetViews>
  <sheetFormatPr defaultRowHeight="13.8" x14ac:dyDescent="0.25"/>
  <cols>
    <col min="1" max="1" width="22.09765625" customWidth="1"/>
    <col min="3" max="3" width="12.8984375" customWidth="1"/>
  </cols>
  <sheetData>
    <row r="1" spans="1:7" x14ac:dyDescent="0.25">
      <c r="A1" t="s">
        <v>42</v>
      </c>
      <c r="B1" t="s">
        <v>43</v>
      </c>
      <c r="C1" t="s">
        <v>9</v>
      </c>
      <c r="D1" t="s">
        <v>64</v>
      </c>
      <c r="E1" t="s">
        <v>10</v>
      </c>
      <c r="F1" t="s">
        <v>65</v>
      </c>
      <c r="G1" t="s">
        <v>50</v>
      </c>
    </row>
    <row r="2" spans="1:7" x14ac:dyDescent="0.25">
      <c r="A2" t="s">
        <v>40</v>
      </c>
      <c r="B2" t="s">
        <v>12</v>
      </c>
      <c r="C2">
        <v>44.314420579281148</v>
      </c>
      <c r="D2">
        <v>30.720675373087087</v>
      </c>
      <c r="E2">
        <v>32.727498684275226</v>
      </c>
      <c r="F2">
        <v>43.777938881111581</v>
      </c>
      <c r="G2" t="s">
        <v>51</v>
      </c>
    </row>
    <row r="3" spans="1:7" x14ac:dyDescent="0.25">
      <c r="A3" t="s">
        <v>40</v>
      </c>
      <c r="B3" t="s">
        <v>13</v>
      </c>
      <c r="C3">
        <v>25.31097847255219</v>
      </c>
      <c r="D3">
        <v>29.585749293199239</v>
      </c>
      <c r="E3">
        <v>20.918072201490887</v>
      </c>
      <c r="F3">
        <v>23.053836742027833</v>
      </c>
      <c r="G3" t="s">
        <v>51</v>
      </c>
    </row>
    <row r="4" spans="1:7" x14ac:dyDescent="0.25">
      <c r="A4" t="s">
        <v>40</v>
      </c>
      <c r="B4" t="s">
        <v>14</v>
      </c>
      <c r="C4">
        <v>10.461213306876356</v>
      </c>
      <c r="D4">
        <v>6.315406006874186</v>
      </c>
      <c r="E4">
        <v>11.705110538851281</v>
      </c>
      <c r="F4">
        <v>9.461241595980237</v>
      </c>
      <c r="G4" t="s">
        <v>51</v>
      </c>
    </row>
    <row r="5" spans="1:7" x14ac:dyDescent="0.25">
      <c r="A5" t="s">
        <v>40</v>
      </c>
      <c r="B5" t="s">
        <v>15</v>
      </c>
      <c r="C5">
        <v>5.4361671046271463</v>
      </c>
      <c r="D5">
        <v>3.9913079620737673</v>
      </c>
      <c r="E5">
        <v>5.0604154463345203</v>
      </c>
      <c r="F5">
        <v>4.0534711350019643</v>
      </c>
      <c r="G5" t="s">
        <v>51</v>
      </c>
    </row>
    <row r="6" spans="1:7" x14ac:dyDescent="0.25">
      <c r="A6" t="s">
        <v>40</v>
      </c>
      <c r="B6" t="s">
        <v>16</v>
      </c>
      <c r="C6">
        <v>0.69801989741762649</v>
      </c>
      <c r="D6">
        <v>0.40612165185627086</v>
      </c>
      <c r="E6">
        <v>1.3979350813910896</v>
      </c>
      <c r="F6">
        <v>1.249414970626584</v>
      </c>
      <c r="G6" t="s">
        <v>51</v>
      </c>
    </row>
    <row r="7" spans="1:7" x14ac:dyDescent="0.25">
      <c r="A7" t="s">
        <v>40</v>
      </c>
      <c r="B7" t="s">
        <v>17</v>
      </c>
      <c r="C7">
        <v>3.251464447119091</v>
      </c>
      <c r="D7">
        <v>4.1254953225393152</v>
      </c>
      <c r="E7">
        <v>4.2656957010507606</v>
      </c>
      <c r="F7">
        <v>3.2783427144685602</v>
      </c>
      <c r="G7" t="s">
        <v>51</v>
      </c>
    </row>
    <row r="8" spans="1:7" x14ac:dyDescent="0.25">
      <c r="A8" t="s">
        <v>40</v>
      </c>
      <c r="B8" t="s">
        <v>18</v>
      </c>
      <c r="C8">
        <v>6.968177253039932</v>
      </c>
      <c r="D8">
        <v>13.632796584818196</v>
      </c>
      <c r="E8">
        <v>6.0111116538137876</v>
      </c>
      <c r="F8">
        <v>3.8818972004318608</v>
      </c>
      <c r="G8" t="s">
        <v>51</v>
      </c>
    </row>
    <row r="9" spans="1:7" x14ac:dyDescent="0.25">
      <c r="A9" t="s">
        <v>40</v>
      </c>
      <c r="B9" t="s">
        <v>19</v>
      </c>
      <c r="C9">
        <v>5.0326447489661357</v>
      </c>
      <c r="D9">
        <v>7.8714018748198633</v>
      </c>
      <c r="E9">
        <v>5.78421439716129</v>
      </c>
      <c r="F9">
        <v>3.7305638252866014</v>
      </c>
      <c r="G9" t="s">
        <v>51</v>
      </c>
    </row>
    <row r="10" spans="1:7" x14ac:dyDescent="0.25">
      <c r="A10" t="s">
        <v>40</v>
      </c>
      <c r="B10" t="s">
        <v>20</v>
      </c>
      <c r="C10">
        <v>2.9500336298368603</v>
      </c>
      <c r="D10">
        <v>2.0228651820162344</v>
      </c>
      <c r="E10">
        <v>2.5609410850487073</v>
      </c>
      <c r="F10">
        <v>1.9790221281799247</v>
      </c>
      <c r="G10" t="s">
        <v>51</v>
      </c>
    </row>
    <row r="11" spans="1:7" x14ac:dyDescent="0.25">
      <c r="A11" t="s">
        <v>39</v>
      </c>
      <c r="B11" t="s">
        <v>21</v>
      </c>
      <c r="C11">
        <v>3.2011957991692785</v>
      </c>
      <c r="D11">
        <v>2.5272067098895321</v>
      </c>
      <c r="E11">
        <v>2.7281959510244489</v>
      </c>
      <c r="F11">
        <v>2.7324885409279216</v>
      </c>
      <c r="G11" t="s">
        <v>51</v>
      </c>
    </row>
    <row r="12" spans="1:7" x14ac:dyDescent="0.25">
      <c r="A12" t="s">
        <v>39</v>
      </c>
      <c r="B12" t="s">
        <v>22</v>
      </c>
      <c r="C12">
        <v>0.55148415815203955</v>
      </c>
      <c r="D12">
        <v>0.24491502514425439</v>
      </c>
      <c r="E12">
        <v>0.72675962133889849</v>
      </c>
      <c r="F12">
        <v>0.21737860912014237</v>
      </c>
      <c r="G12" t="s">
        <v>51</v>
      </c>
    </row>
    <row r="13" spans="1:7" x14ac:dyDescent="0.25">
      <c r="A13" t="s">
        <v>39</v>
      </c>
      <c r="B13" t="s">
        <v>23</v>
      </c>
      <c r="C13">
        <v>0.80813545456678082</v>
      </c>
      <c r="D13">
        <v>0.48357361355055134</v>
      </c>
      <c r="E13">
        <v>0.88364052423293882</v>
      </c>
      <c r="F13">
        <v>0.56028937500702092</v>
      </c>
      <c r="G13" t="s">
        <v>51</v>
      </c>
    </row>
    <row r="14" spans="1:7" x14ac:dyDescent="0.25">
      <c r="A14" t="s">
        <v>39</v>
      </c>
      <c r="B14" t="s">
        <v>24</v>
      </c>
      <c r="C14">
        <v>0.82007769773869865</v>
      </c>
      <c r="D14">
        <v>0.42160106980909073</v>
      </c>
      <c r="E14">
        <v>0.94213774616277812</v>
      </c>
      <c r="F14">
        <v>0.72251649079415636</v>
      </c>
      <c r="G14" t="s">
        <v>51</v>
      </c>
    </row>
    <row r="15" spans="1:7" x14ac:dyDescent="0.25">
      <c r="A15" t="s">
        <v>39</v>
      </c>
      <c r="B15" t="s">
        <v>25</v>
      </c>
      <c r="C15">
        <v>2.2387222350911471</v>
      </c>
      <c r="D15">
        <v>2.3795182945513678</v>
      </c>
      <c r="E15">
        <v>2.4780785224057773</v>
      </c>
      <c r="F15">
        <v>1.5484469161210332</v>
      </c>
      <c r="G15" t="s">
        <v>51</v>
      </c>
    </row>
    <row r="16" spans="1:7" x14ac:dyDescent="0.25">
      <c r="A16" t="s">
        <v>39</v>
      </c>
      <c r="B16" t="s">
        <v>26</v>
      </c>
      <c r="C16">
        <v>13.604421213921055</v>
      </c>
      <c r="D16">
        <v>11.982104871633675</v>
      </c>
      <c r="E16">
        <v>12.046539201961641</v>
      </c>
      <c r="F16">
        <v>12.418872527308288</v>
      </c>
      <c r="G16" t="s">
        <v>51</v>
      </c>
    </row>
    <row r="17" spans="1:7" x14ac:dyDescent="0.25">
      <c r="A17" t="s">
        <v>39</v>
      </c>
      <c r="B17" t="s">
        <v>27</v>
      </c>
      <c r="C17">
        <v>3.4069109289071515</v>
      </c>
      <c r="D17">
        <v>2.6815203454066796</v>
      </c>
      <c r="E17">
        <v>2.1364461424638064</v>
      </c>
      <c r="F17">
        <v>3.4152258763325394</v>
      </c>
      <c r="G17" t="s">
        <v>51</v>
      </c>
    </row>
    <row r="18" spans="1:7" x14ac:dyDescent="0.25">
      <c r="A18" t="s">
        <v>39</v>
      </c>
      <c r="B18" t="s">
        <v>28</v>
      </c>
      <c r="C18">
        <v>1.6126414123880659</v>
      </c>
      <c r="D18">
        <v>1.6818562466120348</v>
      </c>
      <c r="E18">
        <v>0.78688790770062789</v>
      </c>
      <c r="F18">
        <v>1.0057014836373983</v>
      </c>
      <c r="G18" t="s">
        <v>51</v>
      </c>
    </row>
    <row r="19" spans="1:7" x14ac:dyDescent="0.25">
      <c r="A19" t="s">
        <v>39</v>
      </c>
      <c r="B19" t="s">
        <v>29</v>
      </c>
      <c r="C19">
        <v>0.58734089890786356</v>
      </c>
      <c r="D19">
        <v>0.46374684329108601</v>
      </c>
      <c r="E19">
        <v>0.42206836595099062</v>
      </c>
      <c r="F19">
        <v>0.46743346874042996</v>
      </c>
      <c r="G19" t="s">
        <v>51</v>
      </c>
    </row>
    <row r="20" spans="1:7" x14ac:dyDescent="0.25">
      <c r="A20" t="s">
        <v>39</v>
      </c>
      <c r="B20" t="s">
        <v>30</v>
      </c>
      <c r="C20">
        <v>2.8265720017761931</v>
      </c>
      <c r="D20">
        <v>1.9810694187246474</v>
      </c>
      <c r="E20">
        <v>2.4205529986956527</v>
      </c>
      <c r="F20">
        <v>2.2713892415430048</v>
      </c>
      <c r="G20" t="s">
        <v>51</v>
      </c>
    </row>
    <row r="21" spans="1:7" x14ac:dyDescent="0.25">
      <c r="A21" t="s">
        <v>39</v>
      </c>
      <c r="B21" t="s">
        <v>31</v>
      </c>
      <c r="C21">
        <v>1.3433666962115467</v>
      </c>
      <c r="D21">
        <v>1.8767841853660518</v>
      </c>
      <c r="E21">
        <v>1.7175324539046506</v>
      </c>
      <c r="F21">
        <v>1.6518029830122811</v>
      </c>
      <c r="G21" t="s">
        <v>51</v>
      </c>
    </row>
    <row r="22" spans="1:7" x14ac:dyDescent="0.25">
      <c r="A22" t="s">
        <v>39</v>
      </c>
      <c r="B22" t="s">
        <v>32</v>
      </c>
      <c r="C22">
        <v>0.86795401329391131</v>
      </c>
      <c r="D22">
        <v>0.61782317928160657</v>
      </c>
      <c r="E22">
        <v>0.73164135490425553</v>
      </c>
      <c r="F22">
        <v>0.63703485220504996</v>
      </c>
      <c r="G22" t="s">
        <v>51</v>
      </c>
    </row>
    <row r="23" spans="1:7" x14ac:dyDescent="0.25">
      <c r="A23" t="s">
        <v>41</v>
      </c>
      <c r="B23" t="s">
        <v>33</v>
      </c>
      <c r="C23">
        <v>20.471264002697001</v>
      </c>
      <c r="D23">
        <v>11.746976413621866</v>
      </c>
      <c r="E23">
        <v>11.824735752981502</v>
      </c>
      <c r="F23">
        <v>9.8315128257426121</v>
      </c>
      <c r="G23" t="s">
        <v>51</v>
      </c>
    </row>
    <row r="24" spans="1:7" x14ac:dyDescent="0.25">
      <c r="A24" t="s">
        <v>41</v>
      </c>
      <c r="B24" t="s">
        <v>34</v>
      </c>
      <c r="C24">
        <v>3.8339123998192344</v>
      </c>
      <c r="D24">
        <v>1.7669512868126795</v>
      </c>
      <c r="E24">
        <v>4.264235932918317</v>
      </c>
      <c r="F24">
        <v>2.9292883155112239</v>
      </c>
      <c r="G24" t="s">
        <v>51</v>
      </c>
    </row>
    <row r="25" spans="1:7" x14ac:dyDescent="0.25">
      <c r="A25" t="s">
        <v>41</v>
      </c>
      <c r="B25" t="s">
        <v>35</v>
      </c>
      <c r="C25">
        <v>13.350690876320407</v>
      </c>
      <c r="D25">
        <v>11.730873519259479</v>
      </c>
      <c r="E25">
        <v>22.125345875280328</v>
      </c>
      <c r="F25">
        <v>17.366200464340981</v>
      </c>
      <c r="G25" t="s">
        <v>51</v>
      </c>
    </row>
    <row r="26" spans="1:7" x14ac:dyDescent="0.25">
      <c r="A26" t="s">
        <v>41</v>
      </c>
      <c r="B26" t="s">
        <v>36</v>
      </c>
      <c r="C26">
        <v>3.146324076634746</v>
      </c>
      <c r="D26">
        <v>2.9626648526070265</v>
      </c>
      <c r="E26">
        <v>4.1511544752232208</v>
      </c>
      <c r="F26">
        <v>3.3890959662647795</v>
      </c>
      <c r="G26" t="s">
        <v>51</v>
      </c>
    </row>
    <row r="27" spans="1:7" x14ac:dyDescent="0.25">
      <c r="A27" t="s">
        <v>41</v>
      </c>
      <c r="B27" t="s">
        <v>37</v>
      </c>
      <c r="C27">
        <v>0.29083668827036863</v>
      </c>
      <c r="D27">
        <v>0.1755130428603755</v>
      </c>
      <c r="E27">
        <v>0.42032355619342443</v>
      </c>
      <c r="F27">
        <v>0.20248156851488469</v>
      </c>
      <c r="G27" t="s">
        <v>51</v>
      </c>
    </row>
    <row r="28" spans="1:7" x14ac:dyDescent="0.25">
      <c r="A28" t="s">
        <v>41</v>
      </c>
      <c r="B28" t="s">
        <v>38</v>
      </c>
      <c r="C28">
        <v>0.19495828609471352</v>
      </c>
      <c r="D28">
        <v>0.13402085063814972</v>
      </c>
      <c r="E28">
        <v>0.26970066846109458</v>
      </c>
      <c r="F28">
        <v>0.11384615804141628</v>
      </c>
      <c r="G2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2052-B289-4F18-9F63-B02ECE01D137}">
  <dimension ref="A1:L141"/>
  <sheetViews>
    <sheetView tabSelected="1" topLeftCell="A108" workbookViewId="0">
      <selection activeCell="H114" sqref="H114:H141"/>
    </sheetView>
  </sheetViews>
  <sheetFormatPr defaultRowHeight="13.8" x14ac:dyDescent="0.25"/>
  <cols>
    <col min="1" max="1" width="17.296875" customWidth="1"/>
  </cols>
  <sheetData>
    <row r="1" spans="1:12" x14ac:dyDescent="0.25">
      <c r="A1" t="s">
        <v>8</v>
      </c>
      <c r="B1" t="s">
        <v>43</v>
      </c>
      <c r="C1">
        <v>2005</v>
      </c>
      <c r="D1">
        <v>2010</v>
      </c>
      <c r="E1">
        <v>2015</v>
      </c>
      <c r="F1" s="2">
        <v>2020</v>
      </c>
      <c r="G1" s="2">
        <v>2025</v>
      </c>
      <c r="H1" s="2">
        <v>2030</v>
      </c>
      <c r="I1">
        <v>2035</v>
      </c>
      <c r="J1">
        <v>2040</v>
      </c>
      <c r="K1">
        <v>2045</v>
      </c>
      <c r="L1">
        <v>2050</v>
      </c>
    </row>
    <row r="2" spans="1:12" x14ac:dyDescent="0.25">
      <c r="A2" t="s">
        <v>9</v>
      </c>
      <c r="B2" t="s">
        <v>17</v>
      </c>
      <c r="C2">
        <v>76.492704383192887</v>
      </c>
      <c r="D2">
        <v>69.352621594018501</v>
      </c>
      <c r="E2">
        <v>62.767071483303248</v>
      </c>
      <c r="F2">
        <v>61.421883904586224</v>
      </c>
      <c r="G2">
        <v>50.930594812192247</v>
      </c>
      <c r="H2">
        <v>39.996458249160334</v>
      </c>
      <c r="I2">
        <v>32.162526986423927</v>
      </c>
      <c r="J2">
        <v>20.5816522689544</v>
      </c>
      <c r="K2">
        <v>10.678764117131401</v>
      </c>
      <c r="L2">
        <v>2.9299343642137217</v>
      </c>
    </row>
    <row r="3" spans="1:12" x14ac:dyDescent="0.25">
      <c r="A3" t="s">
        <v>9</v>
      </c>
      <c r="B3" t="s">
        <v>15</v>
      </c>
      <c r="C3">
        <v>135.79404224978938</v>
      </c>
      <c r="D3">
        <v>133.32782575919163</v>
      </c>
      <c r="E3">
        <v>116.62793496572472</v>
      </c>
      <c r="F3">
        <v>107.1443717296692</v>
      </c>
      <c r="G3">
        <v>101.6050009768272</v>
      </c>
      <c r="H3">
        <v>86.891331173079891</v>
      </c>
      <c r="I3">
        <v>76.498865039117803</v>
      </c>
      <c r="J3">
        <v>64.500561395671753</v>
      </c>
      <c r="K3">
        <v>49.245970370646255</v>
      </c>
      <c r="L3">
        <v>36.633547969577329</v>
      </c>
    </row>
    <row r="4" spans="1:12" x14ac:dyDescent="0.25">
      <c r="A4" t="s">
        <v>9</v>
      </c>
      <c r="B4" t="s">
        <v>31</v>
      </c>
      <c r="C4">
        <v>50.893908707541975</v>
      </c>
      <c r="D4">
        <v>46.766321741323281</v>
      </c>
      <c r="E4">
        <v>46.815387939318477</v>
      </c>
      <c r="F4">
        <v>42.872204879467098</v>
      </c>
      <c r="G4">
        <v>30.61448929793308</v>
      </c>
      <c r="H4">
        <v>17.889962618983564</v>
      </c>
      <c r="I4">
        <v>10.796818675826009</v>
      </c>
      <c r="J4">
        <v>5.870650886136394</v>
      </c>
      <c r="K4">
        <v>-0.70562596313618475</v>
      </c>
      <c r="L4">
        <v>-2.138870874240133</v>
      </c>
    </row>
    <row r="5" spans="1:12" x14ac:dyDescent="0.25">
      <c r="A5" t="s">
        <v>9</v>
      </c>
      <c r="B5" t="s">
        <v>32</v>
      </c>
      <c r="C5">
        <v>23.430815411053814</v>
      </c>
      <c r="D5">
        <v>21.247642513355828</v>
      </c>
      <c r="E5">
        <v>18.021702100248106</v>
      </c>
      <c r="F5">
        <v>16.434797466681907</v>
      </c>
      <c r="G5">
        <v>15.184245928563254</v>
      </c>
      <c r="H5">
        <v>11.497796589039972</v>
      </c>
      <c r="I5">
        <v>6.0412333766395436</v>
      </c>
      <c r="J5">
        <v>3.2551444631003958</v>
      </c>
      <c r="K5">
        <v>1.2113739680815778</v>
      </c>
      <c r="L5">
        <v>1.0897998196618379</v>
      </c>
    </row>
    <row r="6" spans="1:12" x14ac:dyDescent="0.25">
      <c r="A6" t="s">
        <v>9</v>
      </c>
      <c r="B6" t="s">
        <v>37</v>
      </c>
      <c r="C6">
        <v>9.4068947852645284</v>
      </c>
      <c r="D6">
        <v>9.2816202359003412</v>
      </c>
      <c r="E6">
        <v>8.0030092484367987</v>
      </c>
      <c r="F6">
        <v>7.9922342384600862</v>
      </c>
      <c r="G6">
        <v>6.5840599724295892</v>
      </c>
      <c r="H6">
        <v>5.8533535984078764</v>
      </c>
      <c r="I6">
        <v>2.8368993812025787</v>
      </c>
      <c r="J6">
        <v>1.245090443115916</v>
      </c>
      <c r="K6">
        <v>0.51021255320978998</v>
      </c>
      <c r="L6">
        <v>-4.5995709100387479E-2</v>
      </c>
    </row>
    <row r="7" spans="1:12" x14ac:dyDescent="0.25">
      <c r="A7" t="s">
        <v>9</v>
      </c>
      <c r="B7" t="s">
        <v>27</v>
      </c>
      <c r="C7">
        <v>126.35963055620583</v>
      </c>
      <c r="D7">
        <v>119.6874626796001</v>
      </c>
      <c r="E7">
        <v>106.53869493160713</v>
      </c>
      <c r="F7">
        <v>104.62508032780664</v>
      </c>
      <c r="G7">
        <v>73.200312895757307</v>
      </c>
      <c r="H7">
        <v>49.677498108033724</v>
      </c>
      <c r="I7">
        <v>46.395785922368162</v>
      </c>
      <c r="J7">
        <v>39.264653430381173</v>
      </c>
      <c r="K7">
        <v>26.014516627144346</v>
      </c>
      <c r="L7">
        <v>17.169638590444144</v>
      </c>
    </row>
    <row r="8" spans="1:12" x14ac:dyDescent="0.25">
      <c r="A8" t="s">
        <v>9</v>
      </c>
      <c r="B8" t="s">
        <v>20</v>
      </c>
      <c r="C8">
        <v>53.998425371317531</v>
      </c>
      <c r="D8">
        <v>52.211624870914989</v>
      </c>
      <c r="E8">
        <v>36.80212478710019</v>
      </c>
      <c r="F8">
        <v>32.443373847166804</v>
      </c>
      <c r="G8">
        <v>28.923553715069009</v>
      </c>
      <c r="H8">
        <v>22.091392527033005</v>
      </c>
      <c r="I8">
        <v>18.609580761778044</v>
      </c>
      <c r="J8">
        <v>8.8363101462010114</v>
      </c>
      <c r="K8">
        <v>-4.2223242923699491</v>
      </c>
      <c r="L8">
        <v>-40.927811323260002</v>
      </c>
    </row>
    <row r="9" spans="1:12" x14ac:dyDescent="0.25">
      <c r="A9" t="s">
        <v>9</v>
      </c>
      <c r="B9" t="s">
        <v>24</v>
      </c>
      <c r="C9">
        <v>20.344499596279579</v>
      </c>
      <c r="D9">
        <v>23.55734014705023</v>
      </c>
      <c r="E9">
        <v>21.658104143513938</v>
      </c>
      <c r="F9">
        <v>9.9711845455086756</v>
      </c>
      <c r="G9">
        <v>8.9728591792883066</v>
      </c>
      <c r="H9">
        <v>4.7931526574592835</v>
      </c>
      <c r="I9">
        <v>2.8714571550623531</v>
      </c>
      <c r="J9">
        <v>2.2511079544581869</v>
      </c>
      <c r="K9">
        <v>-0.2002778663007195</v>
      </c>
      <c r="L9">
        <v>-1.8130775301152411</v>
      </c>
    </row>
    <row r="10" spans="1:12" x14ac:dyDescent="0.25">
      <c r="A10" t="s">
        <v>9</v>
      </c>
      <c r="B10" t="s">
        <v>19</v>
      </c>
      <c r="C10">
        <v>58.528370300585962</v>
      </c>
      <c r="D10">
        <v>65.417101726331126</v>
      </c>
      <c r="E10">
        <v>45.655986382488173</v>
      </c>
      <c r="F10">
        <v>39.342091718662047</v>
      </c>
      <c r="G10">
        <v>31.585781351232093</v>
      </c>
      <c r="H10">
        <v>12.856767653254419</v>
      </c>
      <c r="I10">
        <v>-16.575694650259774</v>
      </c>
      <c r="J10">
        <v>-35.628238555525598</v>
      </c>
      <c r="K10">
        <v>-49.540650805394613</v>
      </c>
      <c r="L10">
        <v>-59.601299269546111</v>
      </c>
    </row>
    <row r="11" spans="1:12" x14ac:dyDescent="0.25">
      <c r="A11" t="s">
        <v>9</v>
      </c>
      <c r="B11" t="s">
        <v>13</v>
      </c>
      <c r="C11">
        <v>408.05131792470206</v>
      </c>
      <c r="D11">
        <v>369.39926787179326</v>
      </c>
      <c r="E11">
        <v>330.90823869246157</v>
      </c>
      <c r="F11">
        <v>327.23510377769003</v>
      </c>
      <c r="G11">
        <v>294.7128810815874</v>
      </c>
      <c r="H11">
        <v>234.03175185479785</v>
      </c>
      <c r="I11">
        <v>139.11515998322744</v>
      </c>
      <c r="J11">
        <v>62.47759528249324</v>
      </c>
      <c r="K11">
        <v>17.397247519889987</v>
      </c>
      <c r="L11">
        <v>-3.9656518460125119</v>
      </c>
    </row>
    <row r="12" spans="1:12" x14ac:dyDescent="0.25">
      <c r="A12" t="s">
        <v>9</v>
      </c>
      <c r="B12" t="s">
        <v>12</v>
      </c>
      <c r="C12">
        <v>836.18857958160208</v>
      </c>
      <c r="D12">
        <v>801.43148742783171</v>
      </c>
      <c r="E12">
        <v>777.20502636474941</v>
      </c>
      <c r="F12">
        <v>672.21681753131531</v>
      </c>
      <c r="G12">
        <v>520.0335712260943</v>
      </c>
      <c r="H12">
        <v>348.69945747821112</v>
      </c>
      <c r="I12">
        <v>338.82098432881236</v>
      </c>
      <c r="J12">
        <v>291.51070410130899</v>
      </c>
      <c r="K12">
        <v>204.87874942213483</v>
      </c>
      <c r="L12">
        <v>134.65746364962666</v>
      </c>
    </row>
    <row r="13" spans="1:12" x14ac:dyDescent="0.25">
      <c r="A13" t="s">
        <v>9</v>
      </c>
      <c r="B13" t="s">
        <v>34</v>
      </c>
      <c r="C13">
        <v>111.05743091541054</v>
      </c>
      <c r="D13">
        <v>98.642052513019877</v>
      </c>
      <c r="E13">
        <v>77.618089549647848</v>
      </c>
      <c r="F13">
        <v>62.512710101360732</v>
      </c>
      <c r="G13">
        <v>54.883468152327453</v>
      </c>
      <c r="H13">
        <v>40.046097806856508</v>
      </c>
      <c r="I13">
        <v>31.533579015777811</v>
      </c>
      <c r="J13">
        <v>18.997332422282032</v>
      </c>
      <c r="K13">
        <v>9.6540069874093284</v>
      </c>
      <c r="L13">
        <v>5.5090511848165589</v>
      </c>
    </row>
    <row r="14" spans="1:12" x14ac:dyDescent="0.25">
      <c r="A14" t="s">
        <v>9</v>
      </c>
      <c r="B14" t="s">
        <v>25</v>
      </c>
      <c r="C14">
        <v>58.49723747612213</v>
      </c>
      <c r="D14">
        <v>50.241171730148629</v>
      </c>
      <c r="E14">
        <v>45.19885706809491</v>
      </c>
      <c r="F14">
        <v>46.927181514200228</v>
      </c>
      <c r="G14">
        <v>41.324327619691267</v>
      </c>
      <c r="H14">
        <v>31.747948804228251</v>
      </c>
      <c r="I14">
        <v>20.030212061463381</v>
      </c>
      <c r="J14">
        <v>7.9667300231413538</v>
      </c>
      <c r="K14">
        <v>-0.81188603593480413</v>
      </c>
      <c r="L14">
        <v>-4.2727253695035436</v>
      </c>
    </row>
    <row r="15" spans="1:12" x14ac:dyDescent="0.25">
      <c r="A15" t="s">
        <v>9</v>
      </c>
      <c r="B15" t="s">
        <v>21</v>
      </c>
      <c r="C15">
        <v>50.034393289212673</v>
      </c>
      <c r="D15">
        <v>44.271302335502249</v>
      </c>
      <c r="E15">
        <v>40.482707922148322</v>
      </c>
      <c r="F15">
        <v>34.24548997774788</v>
      </c>
      <c r="G15">
        <v>33.548301324336244</v>
      </c>
      <c r="H15">
        <v>29.184432331160458</v>
      </c>
      <c r="I15">
        <v>20.831878598178143</v>
      </c>
      <c r="J15">
        <v>14.340104385226033</v>
      </c>
      <c r="K15">
        <v>10.712390291373215</v>
      </c>
      <c r="L15">
        <v>7.1245876560974253</v>
      </c>
    </row>
    <row r="16" spans="1:12" x14ac:dyDescent="0.25">
      <c r="A16" t="s">
        <v>9</v>
      </c>
      <c r="B16" t="s">
        <v>33</v>
      </c>
      <c r="C16">
        <v>481.37668531221919</v>
      </c>
      <c r="D16">
        <v>416.21484433048818</v>
      </c>
      <c r="E16">
        <v>354.13685421465601</v>
      </c>
      <c r="F16">
        <v>301.59887518908857</v>
      </c>
      <c r="G16">
        <v>269.83257651132868</v>
      </c>
      <c r="H16">
        <v>202.98336367960221</v>
      </c>
      <c r="I16">
        <v>179.31106906147551</v>
      </c>
      <c r="J16">
        <v>131.82490886378068</v>
      </c>
      <c r="K16">
        <v>91.873506524143323</v>
      </c>
      <c r="L16">
        <v>62.400629414804158</v>
      </c>
    </row>
    <row r="17" spans="1:12" x14ac:dyDescent="0.25">
      <c r="A17" t="s">
        <v>9</v>
      </c>
      <c r="B17" t="s">
        <v>22</v>
      </c>
      <c r="C17">
        <v>8.3819959966428499</v>
      </c>
      <c r="D17">
        <v>8.9669783035671795</v>
      </c>
      <c r="E17">
        <v>7.6590290155701997</v>
      </c>
      <c r="F17">
        <v>6.689420079643642</v>
      </c>
      <c r="G17">
        <v>5.7693294263489072</v>
      </c>
      <c r="H17">
        <v>4.3670977631202321</v>
      </c>
      <c r="I17">
        <v>3.2887446552418869</v>
      </c>
      <c r="J17">
        <v>-0.30698464788352936</v>
      </c>
      <c r="K17">
        <v>-3.0943362576260522</v>
      </c>
      <c r="L17">
        <v>-4.8893605358088008</v>
      </c>
    </row>
    <row r="18" spans="1:12" x14ac:dyDescent="0.25">
      <c r="A18" t="s">
        <v>9</v>
      </c>
      <c r="B18" t="s">
        <v>23</v>
      </c>
      <c r="C18">
        <v>14.492153915567091</v>
      </c>
      <c r="D18">
        <v>15.01699059836662</v>
      </c>
      <c r="E18">
        <v>13.317265254116508</v>
      </c>
      <c r="F18">
        <v>13.558113443407164</v>
      </c>
      <c r="G18">
        <v>12.15829566145795</v>
      </c>
      <c r="H18">
        <v>9.5724656865391538</v>
      </c>
      <c r="I18">
        <v>7.6809361512338308</v>
      </c>
      <c r="J18">
        <v>5.4109532799581812</v>
      </c>
      <c r="K18">
        <v>3.1968995224296877</v>
      </c>
      <c r="L18">
        <v>0.35630386630534561</v>
      </c>
    </row>
    <row r="19" spans="1:12" x14ac:dyDescent="0.25">
      <c r="A19" t="s">
        <v>9</v>
      </c>
      <c r="B19" t="s">
        <v>16</v>
      </c>
      <c r="C19">
        <v>12.615250230214762</v>
      </c>
      <c r="D19">
        <v>11.812678448183314</v>
      </c>
      <c r="E19">
        <v>10.114719884393326</v>
      </c>
      <c r="F19">
        <v>9.4560810504748432</v>
      </c>
      <c r="G19">
        <v>9.7324283499352173</v>
      </c>
      <c r="H19">
        <v>8.684862268242993</v>
      </c>
      <c r="I19">
        <v>8.3582922085263487</v>
      </c>
      <c r="J19">
        <v>7.1182027471882234</v>
      </c>
      <c r="K19">
        <v>6.0737245928177037</v>
      </c>
      <c r="L19">
        <v>4.8505963083274768</v>
      </c>
    </row>
    <row r="20" spans="1:12" x14ac:dyDescent="0.25">
      <c r="A20" t="s">
        <v>9</v>
      </c>
      <c r="B20" t="s">
        <v>38</v>
      </c>
      <c r="C20">
        <v>4.7346551248958271</v>
      </c>
      <c r="D20">
        <v>7.1280184619588125</v>
      </c>
      <c r="E20">
        <v>6.5681098947601377</v>
      </c>
      <c r="F20">
        <v>6.6268543261916362</v>
      </c>
      <c r="G20">
        <v>7.0534591532624136</v>
      </c>
      <c r="H20">
        <v>7.0616618531681352</v>
      </c>
      <c r="I20">
        <v>6.3622340116362617</v>
      </c>
      <c r="J20">
        <v>6.0053361823276665</v>
      </c>
      <c r="K20">
        <v>5.0221073797847922</v>
      </c>
      <c r="L20">
        <v>4.177017485748336</v>
      </c>
    </row>
    <row r="21" spans="1:12" x14ac:dyDescent="0.25">
      <c r="A21" t="s">
        <v>9</v>
      </c>
      <c r="B21" t="s">
        <v>14</v>
      </c>
      <c r="C21">
        <v>232.37430947656185</v>
      </c>
      <c r="D21">
        <v>229.35102845131811</v>
      </c>
      <c r="E21">
        <v>212.77267723941046</v>
      </c>
      <c r="F21">
        <v>186.2403863542178</v>
      </c>
      <c r="G21">
        <v>172.646097851983</v>
      </c>
      <c r="H21">
        <v>137.0406996464169</v>
      </c>
      <c r="I21">
        <v>123.21718806040657</v>
      </c>
      <c r="J21">
        <v>108.13737669997495</v>
      </c>
      <c r="K21">
        <v>80.728564632867702</v>
      </c>
      <c r="L21">
        <v>56.450224595235127</v>
      </c>
    </row>
    <row r="22" spans="1:12" x14ac:dyDescent="0.25">
      <c r="A22" t="s">
        <v>9</v>
      </c>
      <c r="B22" t="s">
        <v>26</v>
      </c>
      <c r="C22">
        <v>324.0372964701919</v>
      </c>
      <c r="D22">
        <v>336.03927186182949</v>
      </c>
      <c r="E22">
        <v>309.15471122104032</v>
      </c>
      <c r="F22">
        <v>298.66433476642305</v>
      </c>
      <c r="G22">
        <v>236.4182153493021</v>
      </c>
      <c r="H22">
        <v>158.89987481397768</v>
      </c>
      <c r="I22">
        <v>123.63925785541838</v>
      </c>
      <c r="J22">
        <v>100.85147372723489</v>
      </c>
      <c r="K22">
        <v>64.561361799225864</v>
      </c>
      <c r="L22">
        <v>41.318247341641509</v>
      </c>
    </row>
    <row r="23" spans="1:12" x14ac:dyDescent="0.25">
      <c r="A23" t="s">
        <v>9</v>
      </c>
      <c r="B23" t="s">
        <v>36</v>
      </c>
      <c r="C23">
        <v>68.717148117037837</v>
      </c>
      <c r="D23">
        <v>56.586258343280889</v>
      </c>
      <c r="E23">
        <v>57.429599178880721</v>
      </c>
      <c r="F23">
        <v>47.558428274541804</v>
      </c>
      <c r="G23">
        <v>42.817868573300501</v>
      </c>
      <c r="H23">
        <v>34.181970363714058</v>
      </c>
      <c r="I23">
        <v>27.661896704516511</v>
      </c>
      <c r="J23">
        <v>19.444166285154978</v>
      </c>
      <c r="K23">
        <v>11.676320566394397</v>
      </c>
      <c r="L23">
        <v>5.5815175958939287</v>
      </c>
    </row>
    <row r="24" spans="1:12" x14ac:dyDescent="0.25">
      <c r="A24" t="s">
        <v>9</v>
      </c>
      <c r="B24" t="s">
        <v>30</v>
      </c>
      <c r="C24">
        <v>98.323013765059457</v>
      </c>
      <c r="D24">
        <v>79.595985102228013</v>
      </c>
      <c r="E24">
        <v>72.026460941596014</v>
      </c>
      <c r="F24">
        <v>74.592768991428244</v>
      </c>
      <c r="G24">
        <v>62.816787225878095</v>
      </c>
      <c r="H24">
        <v>48.139998578551875</v>
      </c>
      <c r="I24">
        <v>44.460497230409906</v>
      </c>
      <c r="J24">
        <v>36.080778169847171</v>
      </c>
      <c r="K24">
        <v>24.467880624733557</v>
      </c>
      <c r="L24">
        <v>15.909263739430124</v>
      </c>
    </row>
    <row r="25" spans="1:12" x14ac:dyDescent="0.25">
      <c r="A25" t="s">
        <v>9</v>
      </c>
      <c r="B25" t="s">
        <v>28</v>
      </c>
      <c r="C25">
        <v>39.921459128879491</v>
      </c>
      <c r="D25">
        <v>37.003800633426408</v>
      </c>
      <c r="E25">
        <v>31.479380065273901</v>
      </c>
      <c r="F25">
        <v>30.972862257815347</v>
      </c>
      <c r="G25">
        <v>26.237137319164638</v>
      </c>
      <c r="H25">
        <v>17.946010635950124</v>
      </c>
      <c r="I25">
        <v>10.655980418454485</v>
      </c>
      <c r="J25">
        <v>4.5466384673909079</v>
      </c>
      <c r="K25">
        <v>0.7023374611718125</v>
      </c>
      <c r="L25">
        <v>-0.65980426928017477</v>
      </c>
    </row>
    <row r="26" spans="1:12" x14ac:dyDescent="0.25">
      <c r="A26" t="s">
        <v>9</v>
      </c>
      <c r="B26" t="s">
        <v>29</v>
      </c>
      <c r="C26">
        <v>16.181538539967246</v>
      </c>
      <c r="D26">
        <v>15.882159360496848</v>
      </c>
      <c r="E26">
        <v>13.112223974477754</v>
      </c>
      <c r="F26">
        <v>13.145904350291801</v>
      </c>
      <c r="G26">
        <v>11.382781910983903</v>
      </c>
      <c r="H26">
        <v>8.4779326149315395</v>
      </c>
      <c r="I26">
        <v>7.8969347952794102</v>
      </c>
      <c r="J26">
        <v>6.5228348020152582</v>
      </c>
      <c r="K26">
        <v>4.3381261164788372</v>
      </c>
      <c r="L26">
        <v>2.4673935891180814</v>
      </c>
    </row>
    <row r="27" spans="1:12" x14ac:dyDescent="0.25">
      <c r="A27" t="s">
        <v>9</v>
      </c>
      <c r="B27" t="s">
        <v>35</v>
      </c>
      <c r="C27">
        <v>392.51951317562333</v>
      </c>
      <c r="D27">
        <v>306.85706990117677</v>
      </c>
      <c r="E27">
        <v>299.05625632335727</v>
      </c>
      <c r="F27">
        <v>257.96628036595911</v>
      </c>
      <c r="G27">
        <v>240.49592005387362</v>
      </c>
      <c r="H27">
        <v>191.58570267769392</v>
      </c>
      <c r="I27">
        <v>136.91189302555912</v>
      </c>
      <c r="J27">
        <v>89.514197952518543</v>
      </c>
      <c r="K27">
        <v>55.936028434341232</v>
      </c>
      <c r="L27">
        <v>41.05246240190899</v>
      </c>
    </row>
    <row r="28" spans="1:12" x14ac:dyDescent="0.25">
      <c r="A28" t="s">
        <v>9</v>
      </c>
      <c r="B28" t="s">
        <v>18</v>
      </c>
      <c r="C28">
        <v>60.262381108915285</v>
      </c>
      <c r="D28">
        <v>57.781221373242403</v>
      </c>
      <c r="E28">
        <v>45.3448261059334</v>
      </c>
      <c r="F28">
        <v>46.526249804655109</v>
      </c>
      <c r="G28">
        <v>40.429494759378294</v>
      </c>
      <c r="H28">
        <v>28.348110775279299</v>
      </c>
      <c r="I28">
        <v>-30.80156976530759</v>
      </c>
      <c r="J28">
        <v>-64.573041707909127</v>
      </c>
      <c r="K28">
        <v>-82.500329222856976</v>
      </c>
      <c r="L28">
        <v>-91.272451679251077</v>
      </c>
    </row>
    <row r="29" spans="1:12" x14ac:dyDescent="0.25">
      <c r="A29" t="s">
        <v>9</v>
      </c>
      <c r="B29" t="s">
        <v>60</v>
      </c>
      <c r="C29">
        <f>SUM(C2:C28)</f>
        <v>3773.0156509100566</v>
      </c>
      <c r="D29">
        <f t="shared" ref="D29:L29" si="0">SUM(D2:D28)</f>
        <v>3483.0711483155437</v>
      </c>
      <c r="E29">
        <f t="shared" si="0"/>
        <v>3166.4750488923078</v>
      </c>
      <c r="F29">
        <f t="shared" si="0"/>
        <v>2858.9810848144612</v>
      </c>
      <c r="G29">
        <f t="shared" si="0"/>
        <v>2429.8938396795261</v>
      </c>
      <c r="H29">
        <f t="shared" si="0"/>
        <v>1792.5471528068942</v>
      </c>
      <c r="I29">
        <f t="shared" si="0"/>
        <v>1378.6126410484685</v>
      </c>
      <c r="J29">
        <f t="shared" si="0"/>
        <v>956.04623946854417</v>
      </c>
      <c r="K29">
        <f t="shared" si="0"/>
        <v>537.80465906779045</v>
      </c>
      <c r="L29">
        <f t="shared" si="0"/>
        <v>230.09063116673283</v>
      </c>
    </row>
    <row r="30" spans="1:12" x14ac:dyDescent="0.25">
      <c r="A30" t="s">
        <v>61</v>
      </c>
      <c r="B30" t="s">
        <v>17</v>
      </c>
      <c r="C30">
        <v>76.565801514373234</v>
      </c>
      <c r="D30">
        <v>69.296904290835499</v>
      </c>
      <c r="E30">
        <v>62.784575979100239</v>
      </c>
      <c r="F30">
        <v>55.930813464177682</v>
      </c>
      <c r="G30">
        <v>48.263427823502752</v>
      </c>
      <c r="H30">
        <v>37.020411065004126</v>
      </c>
      <c r="I30">
        <v>28.320960449335324</v>
      </c>
      <c r="J30">
        <v>19.926949553992809</v>
      </c>
      <c r="K30">
        <v>10.729662864569894</v>
      </c>
      <c r="L30">
        <v>4.1796142383919896</v>
      </c>
    </row>
    <row r="31" spans="1:12" x14ac:dyDescent="0.25">
      <c r="A31" t="s">
        <v>61</v>
      </c>
      <c r="B31" t="s">
        <v>15</v>
      </c>
      <c r="C31">
        <v>135.79404224978938</v>
      </c>
      <c r="D31">
        <v>133.32782575919163</v>
      </c>
      <c r="E31">
        <v>116.62793496572472</v>
      </c>
      <c r="F31">
        <v>107.5378391315471</v>
      </c>
      <c r="G31">
        <v>98.712027839440765</v>
      </c>
      <c r="H31">
        <v>87.417695412446932</v>
      </c>
      <c r="I31">
        <v>77.783059083509414</v>
      </c>
      <c r="J31">
        <v>65.584324670421054</v>
      </c>
      <c r="K31">
        <v>50.675733474317632</v>
      </c>
      <c r="L31">
        <v>38.328882703920208</v>
      </c>
    </row>
    <row r="32" spans="1:12" x14ac:dyDescent="0.25">
      <c r="A32" t="s">
        <v>61</v>
      </c>
      <c r="B32" t="s">
        <v>31</v>
      </c>
      <c r="C32">
        <v>50.893908707541975</v>
      </c>
      <c r="D32">
        <v>46.766321741323281</v>
      </c>
      <c r="E32">
        <v>46.815387939318477</v>
      </c>
      <c r="F32">
        <v>40.319248698456398</v>
      </c>
      <c r="G32">
        <v>29.505328172630843</v>
      </c>
      <c r="H32">
        <v>18.610910941757144</v>
      </c>
      <c r="I32">
        <v>11.663255630528001</v>
      </c>
      <c r="J32">
        <v>3.4206708524223592</v>
      </c>
      <c r="K32">
        <v>-2.6867776732151509</v>
      </c>
      <c r="L32">
        <v>-3.5201544993529454</v>
      </c>
    </row>
    <row r="33" spans="1:12" x14ac:dyDescent="0.25">
      <c r="A33" t="s">
        <v>61</v>
      </c>
      <c r="B33" t="s">
        <v>32</v>
      </c>
      <c r="C33">
        <v>23.430815411053814</v>
      </c>
      <c r="D33">
        <v>21.247642513355828</v>
      </c>
      <c r="E33">
        <v>18.021702100248106</v>
      </c>
      <c r="F33">
        <v>16.037416250178946</v>
      </c>
      <c r="G33">
        <v>13.296428456230162</v>
      </c>
      <c r="H33">
        <v>7.0116488215797448</v>
      </c>
      <c r="I33">
        <v>3.9881481239399994</v>
      </c>
      <c r="J33">
        <v>1.0349083204435607</v>
      </c>
      <c r="K33">
        <v>-0.51353838675737717</v>
      </c>
      <c r="L33">
        <v>1.2444122281012462E-2</v>
      </c>
    </row>
    <row r="34" spans="1:12" x14ac:dyDescent="0.25">
      <c r="A34" t="s">
        <v>61</v>
      </c>
      <c r="B34" t="s">
        <v>37</v>
      </c>
      <c r="C34">
        <v>9.4068947852645284</v>
      </c>
      <c r="D34">
        <v>9.2816202359003412</v>
      </c>
      <c r="E34">
        <v>8.0030092484367987</v>
      </c>
      <c r="F34">
        <v>7.2408529965089166</v>
      </c>
      <c r="G34">
        <v>6.2135817491311123</v>
      </c>
      <c r="H34">
        <v>3.9069431635885681</v>
      </c>
      <c r="I34">
        <v>2.7282312471822592</v>
      </c>
      <c r="J34">
        <v>1.8265267118898618</v>
      </c>
      <c r="K34">
        <v>1.033685316866239</v>
      </c>
      <c r="L34">
        <v>0.11840450772933769</v>
      </c>
    </row>
    <row r="35" spans="1:12" x14ac:dyDescent="0.25">
      <c r="A35" t="s">
        <v>61</v>
      </c>
      <c r="B35" t="s">
        <v>27</v>
      </c>
      <c r="C35">
        <v>126.35963055620583</v>
      </c>
      <c r="D35">
        <v>119.6874626796001</v>
      </c>
      <c r="E35">
        <v>106.53869493160713</v>
      </c>
      <c r="F35">
        <v>93.464745482033194</v>
      </c>
      <c r="G35">
        <v>78.055207037630169</v>
      </c>
      <c r="H35">
        <v>63.394024930122214</v>
      </c>
      <c r="I35">
        <v>50.851592073098658</v>
      </c>
      <c r="J35">
        <v>36.73975622475951</v>
      </c>
      <c r="K35">
        <v>23.528403137645707</v>
      </c>
      <c r="L35">
        <v>14.917113031681131</v>
      </c>
    </row>
    <row r="36" spans="1:12" x14ac:dyDescent="0.25">
      <c r="A36" t="s">
        <v>61</v>
      </c>
      <c r="B36" t="s">
        <v>20</v>
      </c>
      <c r="C36">
        <v>53.998425371317531</v>
      </c>
      <c r="D36">
        <v>52.211624870914989</v>
      </c>
      <c r="E36">
        <v>36.80212478710019</v>
      </c>
      <c r="F36">
        <v>35.324822278248035</v>
      </c>
      <c r="G36">
        <v>29.642566679867475</v>
      </c>
      <c r="H36">
        <v>24.90611436958249</v>
      </c>
      <c r="I36">
        <v>16.413950912500262</v>
      </c>
      <c r="J36">
        <v>6.2811098177826414</v>
      </c>
      <c r="K36">
        <v>-6.7889626253166755</v>
      </c>
      <c r="L36">
        <v>-43.194837601338875</v>
      </c>
    </row>
    <row r="37" spans="1:12" x14ac:dyDescent="0.25">
      <c r="A37" t="s">
        <v>61</v>
      </c>
      <c r="B37" t="s">
        <v>24</v>
      </c>
      <c r="C37">
        <v>20.344499596279579</v>
      </c>
      <c r="D37">
        <v>23.55734014705023</v>
      </c>
      <c r="E37">
        <v>21.658104143513938</v>
      </c>
      <c r="F37">
        <v>19.573227904268354</v>
      </c>
      <c r="G37">
        <v>14.702374204584913</v>
      </c>
      <c r="H37">
        <v>11.922344222520598</v>
      </c>
      <c r="I37">
        <v>8.0349292245530943</v>
      </c>
      <c r="J37">
        <v>3.6276040367991489</v>
      </c>
      <c r="K37">
        <v>-0.41284912267578405</v>
      </c>
      <c r="L37">
        <v>-2.5879955438165245</v>
      </c>
    </row>
    <row r="38" spans="1:12" x14ac:dyDescent="0.25">
      <c r="A38" t="s">
        <v>61</v>
      </c>
      <c r="B38" t="s">
        <v>19</v>
      </c>
      <c r="C38">
        <v>58.528370300585962</v>
      </c>
      <c r="D38">
        <v>65.417101726331126</v>
      </c>
      <c r="E38">
        <v>45.655986382488173</v>
      </c>
      <c r="F38">
        <v>39.88925827982149</v>
      </c>
      <c r="G38">
        <v>12.639778210812477</v>
      </c>
      <c r="H38">
        <v>-13.975190378378654</v>
      </c>
      <c r="I38">
        <v>-32.00070160952783</v>
      </c>
      <c r="J38">
        <v>-44.44370891984439</v>
      </c>
      <c r="K38">
        <v>-53.842367041717608</v>
      </c>
      <c r="L38">
        <v>-56.397755748900217</v>
      </c>
    </row>
    <row r="39" spans="1:12" x14ac:dyDescent="0.25">
      <c r="A39" t="s">
        <v>61</v>
      </c>
      <c r="B39" t="s">
        <v>13</v>
      </c>
      <c r="C39">
        <v>408.05131792470206</v>
      </c>
      <c r="D39">
        <v>369.39926787179326</v>
      </c>
      <c r="E39">
        <v>330.90823869246157</v>
      </c>
      <c r="F39">
        <v>306.42445077141866</v>
      </c>
      <c r="G39">
        <v>261.58769373743542</v>
      </c>
      <c r="H39">
        <v>170.79650203214248</v>
      </c>
      <c r="I39">
        <v>118.072751832026</v>
      </c>
      <c r="J39">
        <v>72.485209789007428</v>
      </c>
      <c r="K39">
        <v>27.237886471856168</v>
      </c>
      <c r="L39">
        <v>-7.4592446743989713</v>
      </c>
    </row>
    <row r="40" spans="1:12" x14ac:dyDescent="0.25">
      <c r="A40" t="s">
        <v>61</v>
      </c>
      <c r="B40" t="s">
        <v>12</v>
      </c>
      <c r="C40">
        <v>836.18857958160208</v>
      </c>
      <c r="D40">
        <v>801.43148742783171</v>
      </c>
      <c r="E40">
        <v>777.20502636474941</v>
      </c>
      <c r="F40">
        <v>705.72598186090295</v>
      </c>
      <c r="G40">
        <v>595.14339545877124</v>
      </c>
      <c r="H40">
        <v>465.40629992034292</v>
      </c>
      <c r="I40">
        <v>388.04647065421346</v>
      </c>
      <c r="J40">
        <v>305.28626807365811</v>
      </c>
      <c r="K40">
        <v>210.71123158743956</v>
      </c>
      <c r="L40">
        <v>141.54575149310824</v>
      </c>
    </row>
    <row r="41" spans="1:12" x14ac:dyDescent="0.25">
      <c r="A41" t="s">
        <v>61</v>
      </c>
      <c r="B41" t="s">
        <v>34</v>
      </c>
      <c r="C41">
        <v>111.05743091541054</v>
      </c>
      <c r="D41">
        <v>98.642052513019877</v>
      </c>
      <c r="E41">
        <v>77.618089549647848</v>
      </c>
      <c r="F41">
        <v>66.969896624997531</v>
      </c>
      <c r="G41">
        <v>54.454419763140578</v>
      </c>
      <c r="H41">
        <v>32.181913331311506</v>
      </c>
      <c r="I41">
        <v>24.425230579715638</v>
      </c>
      <c r="J41">
        <v>13.153309394812732</v>
      </c>
      <c r="K41">
        <v>1.097437441847336</v>
      </c>
      <c r="L41">
        <v>-4.6749487510621783</v>
      </c>
    </row>
    <row r="42" spans="1:12" x14ac:dyDescent="0.25">
      <c r="A42" t="s">
        <v>61</v>
      </c>
      <c r="B42" t="s">
        <v>25</v>
      </c>
      <c r="C42">
        <v>58.49723747612213</v>
      </c>
      <c r="D42">
        <v>50.241171730148629</v>
      </c>
      <c r="E42">
        <v>45.19885706809491</v>
      </c>
      <c r="F42">
        <v>42.670249531913846</v>
      </c>
      <c r="G42">
        <v>36.542314138691061</v>
      </c>
      <c r="H42">
        <v>25.335700816415187</v>
      </c>
      <c r="I42">
        <v>15.649548111033019</v>
      </c>
      <c r="J42">
        <v>6.0601020072078526</v>
      </c>
      <c r="K42">
        <v>-1.4076065108883715</v>
      </c>
      <c r="L42">
        <v>-5.0868814443101966</v>
      </c>
    </row>
    <row r="43" spans="1:12" x14ac:dyDescent="0.25">
      <c r="A43" t="s">
        <v>61</v>
      </c>
      <c r="B43" t="s">
        <v>21</v>
      </c>
      <c r="C43">
        <v>50.034393289212673</v>
      </c>
      <c r="D43">
        <v>44.271302335502249</v>
      </c>
      <c r="E43">
        <v>40.482707922148322</v>
      </c>
      <c r="F43">
        <v>38.06388394648603</v>
      </c>
      <c r="G43">
        <v>34.977438084656448</v>
      </c>
      <c r="H43">
        <v>26.759351116736632</v>
      </c>
      <c r="I43">
        <v>20.048199592449418</v>
      </c>
      <c r="J43">
        <v>14.551659793291178</v>
      </c>
      <c r="K43">
        <v>10.462003664528517</v>
      </c>
      <c r="L43">
        <v>6.7508306366463273</v>
      </c>
    </row>
    <row r="44" spans="1:12" x14ac:dyDescent="0.25">
      <c r="A44" t="s">
        <v>61</v>
      </c>
      <c r="B44" t="s">
        <v>33</v>
      </c>
      <c r="C44">
        <v>481.37668531221919</v>
      </c>
      <c r="D44">
        <v>416.21484433048818</v>
      </c>
      <c r="E44">
        <v>354.13685421465601</v>
      </c>
      <c r="F44">
        <v>300.49007147111081</v>
      </c>
      <c r="G44">
        <v>274.87690521031516</v>
      </c>
      <c r="H44">
        <v>223.01327656933472</v>
      </c>
      <c r="I44">
        <v>185.026449210051</v>
      </c>
      <c r="J44">
        <v>141.93704569622381</v>
      </c>
      <c r="K44">
        <v>101.81509956652732</v>
      </c>
      <c r="L44">
        <v>71.282383655093838</v>
      </c>
    </row>
    <row r="45" spans="1:12" x14ac:dyDescent="0.25">
      <c r="A45" t="s">
        <v>61</v>
      </c>
      <c r="B45" t="s">
        <v>22</v>
      </c>
      <c r="C45">
        <v>8.3819959966428499</v>
      </c>
      <c r="D45">
        <v>8.9669783035671795</v>
      </c>
      <c r="E45">
        <v>7.6590290155701997</v>
      </c>
      <c r="F45">
        <v>6.5327118097357877</v>
      </c>
      <c r="G45">
        <v>5.2627234123840143</v>
      </c>
      <c r="H45">
        <v>3.0266223883177323</v>
      </c>
      <c r="I45">
        <v>1.1457790921989675</v>
      </c>
      <c r="J45">
        <v>-1.3797154182805806</v>
      </c>
      <c r="K45">
        <v>-3.7290654967995147</v>
      </c>
      <c r="L45">
        <v>-5.0630857600160644</v>
      </c>
    </row>
    <row r="46" spans="1:12" x14ac:dyDescent="0.25">
      <c r="A46" t="s">
        <v>61</v>
      </c>
      <c r="B46" t="s">
        <v>23</v>
      </c>
      <c r="C46">
        <v>14.492153915567091</v>
      </c>
      <c r="D46">
        <v>15.01699059836662</v>
      </c>
      <c r="E46">
        <v>13.317265254116508</v>
      </c>
      <c r="F46">
        <v>12.706062361809886</v>
      </c>
      <c r="G46">
        <v>11.678614966662204</v>
      </c>
      <c r="H46">
        <v>9.6899167821512826</v>
      </c>
      <c r="I46">
        <v>7.7364939788102474</v>
      </c>
      <c r="J46">
        <v>5.4790200444306976</v>
      </c>
      <c r="K46">
        <v>3.1596924594771565</v>
      </c>
      <c r="L46">
        <v>0.42187349431465543</v>
      </c>
    </row>
    <row r="47" spans="1:12" x14ac:dyDescent="0.25">
      <c r="A47" t="s">
        <v>61</v>
      </c>
      <c r="B47" t="s">
        <v>16</v>
      </c>
      <c r="C47">
        <v>12.615250230214762</v>
      </c>
      <c r="D47">
        <v>11.812678448183314</v>
      </c>
      <c r="E47">
        <v>10.114719884393326</v>
      </c>
      <c r="F47">
        <v>10.268978857452165</v>
      </c>
      <c r="G47">
        <v>10.095975448423449</v>
      </c>
      <c r="H47">
        <v>9.4639805295360055</v>
      </c>
      <c r="I47">
        <v>8.7967562854429442</v>
      </c>
      <c r="J47">
        <v>7.9853730114457528</v>
      </c>
      <c r="K47">
        <v>6.8269285091146967</v>
      </c>
      <c r="L47">
        <v>5.836368798935796</v>
      </c>
    </row>
    <row r="48" spans="1:12" x14ac:dyDescent="0.25">
      <c r="A48" t="s">
        <v>61</v>
      </c>
      <c r="B48" t="s">
        <v>38</v>
      </c>
      <c r="C48">
        <v>4.7346551248958271</v>
      </c>
      <c r="D48">
        <v>7.1280184619588125</v>
      </c>
      <c r="E48">
        <v>6.5681098947601377</v>
      </c>
      <c r="F48">
        <v>6.1058661457665071</v>
      </c>
      <c r="G48">
        <v>6.4441505050837238</v>
      </c>
      <c r="H48">
        <v>6.3887502921336958</v>
      </c>
      <c r="I48">
        <v>6.1896669755637834</v>
      </c>
      <c r="J48">
        <v>5.6227276828612105</v>
      </c>
      <c r="K48">
        <v>4.6678115865562475</v>
      </c>
      <c r="L48">
        <v>3.9284003981627347</v>
      </c>
    </row>
    <row r="49" spans="1:12" x14ac:dyDescent="0.25">
      <c r="A49" t="s">
        <v>61</v>
      </c>
      <c r="B49" t="s">
        <v>14</v>
      </c>
      <c r="C49">
        <v>232.37430947656185</v>
      </c>
      <c r="D49">
        <v>229.35102845131811</v>
      </c>
      <c r="E49">
        <v>212.77267723941046</v>
      </c>
      <c r="F49">
        <v>195.74163198750639</v>
      </c>
      <c r="G49">
        <v>178.10944491496576</v>
      </c>
      <c r="H49">
        <v>151.65434567136393</v>
      </c>
      <c r="I49">
        <v>133.81580911097748</v>
      </c>
      <c r="J49">
        <v>110.15288460510256</v>
      </c>
      <c r="K49">
        <v>79.938445244062123</v>
      </c>
      <c r="L49">
        <v>55.820648169227304</v>
      </c>
    </row>
    <row r="50" spans="1:12" x14ac:dyDescent="0.25">
      <c r="A50" t="s">
        <v>61</v>
      </c>
      <c r="B50" t="s">
        <v>26</v>
      </c>
      <c r="C50">
        <v>324.0372964701919</v>
      </c>
      <c r="D50">
        <v>336.03927186182949</v>
      </c>
      <c r="E50">
        <v>309.15471122104032</v>
      </c>
      <c r="F50">
        <v>279.4763481472005</v>
      </c>
      <c r="G50">
        <v>239.87877564432495</v>
      </c>
      <c r="H50">
        <v>173.03561225597787</v>
      </c>
      <c r="I50">
        <v>131.12923768332112</v>
      </c>
      <c r="J50">
        <v>90.750065191776812</v>
      </c>
      <c r="K50">
        <v>54.47866973411675</v>
      </c>
      <c r="L50">
        <v>31.40062009586315</v>
      </c>
    </row>
    <row r="51" spans="1:12" x14ac:dyDescent="0.25">
      <c r="A51" t="s">
        <v>61</v>
      </c>
      <c r="B51" t="s">
        <v>36</v>
      </c>
      <c r="C51">
        <v>68.717148117037837</v>
      </c>
      <c r="D51">
        <v>56.586258343280889</v>
      </c>
      <c r="E51">
        <v>57.429599178880721</v>
      </c>
      <c r="F51">
        <v>52.273032696206336</v>
      </c>
      <c r="G51">
        <v>46.034950371599557</v>
      </c>
      <c r="H51">
        <v>33.84453964465304</v>
      </c>
      <c r="I51">
        <v>27.574014983964897</v>
      </c>
      <c r="J51">
        <v>20.264376341708399</v>
      </c>
      <c r="K51">
        <v>12.527078354908641</v>
      </c>
      <c r="L51">
        <v>6.8151218142732857</v>
      </c>
    </row>
    <row r="52" spans="1:12" x14ac:dyDescent="0.25">
      <c r="A52" t="s">
        <v>61</v>
      </c>
      <c r="B52" t="s">
        <v>30</v>
      </c>
      <c r="C52">
        <v>98.323013765059457</v>
      </c>
      <c r="D52">
        <v>79.595985102228013</v>
      </c>
      <c r="E52">
        <v>72.026460941596014</v>
      </c>
      <c r="F52">
        <v>68.229434937822532</v>
      </c>
      <c r="G52">
        <v>63.273343469120604</v>
      </c>
      <c r="H52">
        <v>54.847798968932231</v>
      </c>
      <c r="I52">
        <v>45.26072387237506</v>
      </c>
      <c r="J52">
        <v>33.903141300861783</v>
      </c>
      <c r="K52">
        <v>22.772028499466245</v>
      </c>
      <c r="L52">
        <v>14.848135307509491</v>
      </c>
    </row>
    <row r="53" spans="1:12" x14ac:dyDescent="0.25">
      <c r="A53" t="s">
        <v>61</v>
      </c>
      <c r="B53" t="s">
        <v>28</v>
      </c>
      <c r="C53">
        <v>39.921459128879491</v>
      </c>
      <c r="D53">
        <v>37.003800633426408</v>
      </c>
      <c r="E53">
        <v>31.479380065273901</v>
      </c>
      <c r="F53">
        <v>26.941484937829529</v>
      </c>
      <c r="G53">
        <v>22.139772177512882</v>
      </c>
      <c r="H53">
        <v>15.101049951751056</v>
      </c>
      <c r="I53">
        <v>9.3077714603824617</v>
      </c>
      <c r="J53">
        <v>3.9466465067753509</v>
      </c>
      <c r="K53">
        <v>0.82386240783929421</v>
      </c>
      <c r="L53">
        <v>-0.53391261811359225</v>
      </c>
    </row>
    <row r="54" spans="1:12" x14ac:dyDescent="0.25">
      <c r="A54" t="s">
        <v>61</v>
      </c>
      <c r="B54" t="s">
        <v>29</v>
      </c>
      <c r="C54">
        <v>16.181538539967246</v>
      </c>
      <c r="D54">
        <v>15.882159360496848</v>
      </c>
      <c r="E54">
        <v>13.112223974477754</v>
      </c>
      <c r="F54">
        <v>12.667922279259981</v>
      </c>
      <c r="G54">
        <v>11.514576603633085</v>
      </c>
      <c r="H54">
        <v>9.7589905162236104</v>
      </c>
      <c r="I54">
        <v>8.2062384237097969</v>
      </c>
      <c r="J54">
        <v>6.0564185848888323</v>
      </c>
      <c r="K54">
        <v>3.6348363107800914</v>
      </c>
      <c r="L54">
        <v>1.9058857440025265</v>
      </c>
    </row>
    <row r="55" spans="1:12" x14ac:dyDescent="0.25">
      <c r="A55" t="s">
        <v>61</v>
      </c>
      <c r="B55" t="s">
        <v>35</v>
      </c>
      <c r="C55">
        <v>392.51951317562333</v>
      </c>
      <c r="D55">
        <v>306.85706990117677</v>
      </c>
      <c r="E55">
        <v>299.05625632335727</v>
      </c>
      <c r="F55">
        <v>271.73853022738638</v>
      </c>
      <c r="G55">
        <v>241.08881892998551</v>
      </c>
      <c r="H55">
        <v>177.96290641276411</v>
      </c>
      <c r="I55">
        <v>141.06992596788709</v>
      </c>
      <c r="J55">
        <v>100.39692948726328</v>
      </c>
      <c r="K55">
        <v>66.053411446647232</v>
      </c>
      <c r="L55">
        <v>46.392478386024955</v>
      </c>
    </row>
    <row r="56" spans="1:12" x14ac:dyDescent="0.25">
      <c r="A56" t="s">
        <v>61</v>
      </c>
      <c r="B56" t="s">
        <v>18</v>
      </c>
      <c r="C56">
        <v>60.262381108915285</v>
      </c>
      <c r="D56">
        <v>57.781221373242403</v>
      </c>
      <c r="E56">
        <v>45.3448261059334</v>
      </c>
      <c r="F56">
        <v>42.22863752208491</v>
      </c>
      <c r="G56">
        <v>7.4167211995542974</v>
      </c>
      <c r="H56">
        <v>-32.497917339080992</v>
      </c>
      <c r="I56">
        <v>-58.533939128646679</v>
      </c>
      <c r="J56">
        <v>-74.163113554964042</v>
      </c>
      <c r="K56">
        <v>-85.454232586111303</v>
      </c>
      <c r="L56">
        <v>-86.312771047542526</v>
      </c>
    </row>
    <row r="57" spans="1:12" x14ac:dyDescent="0.25">
      <c r="A57" t="s">
        <v>61</v>
      </c>
      <c r="B57" t="s">
        <v>60</v>
      </c>
      <c r="C57">
        <f>SUM(C30:C56)</f>
        <v>3773.0887480412371</v>
      </c>
      <c r="D57">
        <f t="shared" ref="D57:L57" si="1">SUM(D30:D56)</f>
        <v>3483.0154310123608</v>
      </c>
      <c r="E57">
        <f t="shared" si="1"/>
        <v>3166.4925533881055</v>
      </c>
      <c r="F57">
        <f t="shared" si="1"/>
        <v>2860.5734006021312</v>
      </c>
      <c r="G57">
        <f t="shared" si="1"/>
        <v>2431.5507542100904</v>
      </c>
      <c r="H57">
        <f t="shared" si="1"/>
        <v>1795.9845424092302</v>
      </c>
      <c r="I57">
        <f t="shared" si="1"/>
        <v>1380.7505538205949</v>
      </c>
      <c r="J57">
        <f t="shared" si="1"/>
        <v>956.48648980673772</v>
      </c>
      <c r="K57">
        <f t="shared" si="1"/>
        <v>537.33850863508508</v>
      </c>
      <c r="L57">
        <f t="shared" si="1"/>
        <v>229.67336890831388</v>
      </c>
    </row>
    <row r="58" spans="1:12" x14ac:dyDescent="0.25">
      <c r="A58" t="s">
        <v>10</v>
      </c>
      <c r="B58" t="s">
        <v>17</v>
      </c>
      <c r="C58">
        <v>76.492704383192887</v>
      </c>
      <c r="D58">
        <v>69.352621594018501</v>
      </c>
      <c r="E58">
        <v>62.767071483303248</v>
      </c>
      <c r="F58">
        <v>61.421874794963408</v>
      </c>
      <c r="G58">
        <v>48.679765534393951</v>
      </c>
      <c r="H58">
        <v>33.001694753579436</v>
      </c>
      <c r="I58">
        <v>19.076288696508598</v>
      </c>
      <c r="J58">
        <v>4.9996552340406284</v>
      </c>
      <c r="K58">
        <v>4.8238423324993791</v>
      </c>
      <c r="L58">
        <v>4.6430623420058312</v>
      </c>
    </row>
    <row r="59" spans="1:12" x14ac:dyDescent="0.25">
      <c r="A59" t="s">
        <v>10</v>
      </c>
      <c r="B59" t="s">
        <v>15</v>
      </c>
      <c r="C59">
        <v>135.79404224978938</v>
      </c>
      <c r="D59">
        <v>133.32782575919163</v>
      </c>
      <c r="E59">
        <v>116.62793496572472</v>
      </c>
      <c r="F59">
        <v>107.14434661541314</v>
      </c>
      <c r="G59">
        <v>100.43269986923586</v>
      </c>
      <c r="H59">
        <v>86.802194090368204</v>
      </c>
      <c r="I59">
        <v>65.893247313628805</v>
      </c>
      <c r="J59">
        <v>44.984117826645573</v>
      </c>
      <c r="K59">
        <v>23.043184432770129</v>
      </c>
      <c r="L59">
        <v>1.1019205495512829</v>
      </c>
    </row>
    <row r="60" spans="1:12" x14ac:dyDescent="0.25">
      <c r="A60" t="s">
        <v>10</v>
      </c>
      <c r="B60" t="s">
        <v>31</v>
      </c>
      <c r="C60">
        <v>50.893908707541975</v>
      </c>
      <c r="D60">
        <v>46.766321741323281</v>
      </c>
      <c r="E60">
        <v>46.815387939318477</v>
      </c>
      <c r="F60">
        <v>42.872195264865987</v>
      </c>
      <c r="G60">
        <v>30.418877474185468</v>
      </c>
      <c r="H60">
        <v>21.084459459720009</v>
      </c>
      <c r="I60">
        <v>17.907109786291208</v>
      </c>
      <c r="J60">
        <v>14.508031364842099</v>
      </c>
      <c r="K60">
        <v>11.03682588975307</v>
      </c>
      <c r="L60">
        <v>7.5575419427628079</v>
      </c>
    </row>
    <row r="61" spans="1:12" x14ac:dyDescent="0.25">
      <c r="A61" t="s">
        <v>10</v>
      </c>
      <c r="B61" t="s">
        <v>32</v>
      </c>
      <c r="C61">
        <v>23.430815411053814</v>
      </c>
      <c r="D61">
        <v>21.247642513355828</v>
      </c>
      <c r="E61">
        <v>18.021702100248106</v>
      </c>
      <c r="F61">
        <v>16.43474683296186</v>
      </c>
      <c r="G61">
        <v>14.974841110201099</v>
      </c>
      <c r="H61">
        <v>12.616772307457092</v>
      </c>
      <c r="I61">
        <v>10.721927498487275</v>
      </c>
      <c r="J61">
        <v>8.6514965999742568</v>
      </c>
      <c r="K61">
        <v>6.5891832064057345</v>
      </c>
      <c r="L61">
        <v>4.4705198684241916</v>
      </c>
    </row>
    <row r="62" spans="1:12" x14ac:dyDescent="0.25">
      <c r="A62" t="s">
        <v>10</v>
      </c>
      <c r="B62" t="s">
        <v>37</v>
      </c>
      <c r="C62">
        <v>9.4068947852645284</v>
      </c>
      <c r="D62">
        <v>9.2816202359003412</v>
      </c>
      <c r="E62">
        <v>8.0030092484367987</v>
      </c>
      <c r="F62">
        <v>7.9934223188613851</v>
      </c>
      <c r="G62">
        <v>6.6619440719914591</v>
      </c>
      <c r="H62">
        <v>5.7754605876383041</v>
      </c>
      <c r="I62">
        <v>4.4278264080838463</v>
      </c>
      <c r="J62">
        <v>3.085002667095905</v>
      </c>
      <c r="K62">
        <v>1.6844518821834491</v>
      </c>
      <c r="L62">
        <v>0.28389960804622583</v>
      </c>
    </row>
    <row r="63" spans="1:12" x14ac:dyDescent="0.25">
      <c r="A63" t="s">
        <v>10</v>
      </c>
      <c r="B63" t="s">
        <v>27</v>
      </c>
      <c r="C63">
        <v>126.35963055620583</v>
      </c>
      <c r="D63">
        <v>119.6874626796001</v>
      </c>
      <c r="E63">
        <v>106.53869493160713</v>
      </c>
      <c r="F63">
        <v>104.62503734711443</v>
      </c>
      <c r="G63">
        <v>76.75576543112588</v>
      </c>
      <c r="H63">
        <v>52.216079444147972</v>
      </c>
      <c r="I63">
        <v>41.572110854072044</v>
      </c>
      <c r="J63">
        <v>28.979808355586677</v>
      </c>
      <c r="K63">
        <v>16.089654589662633</v>
      </c>
      <c r="L63">
        <v>3.4848852072833081</v>
      </c>
    </row>
    <row r="64" spans="1:12" x14ac:dyDescent="0.25">
      <c r="A64" t="s">
        <v>10</v>
      </c>
      <c r="B64" t="s">
        <v>20</v>
      </c>
      <c r="C64">
        <v>53.998425371317531</v>
      </c>
      <c r="D64">
        <v>52.211624870914989</v>
      </c>
      <c r="E64">
        <v>36.80212478710019</v>
      </c>
      <c r="F64">
        <v>32.443364092602586</v>
      </c>
      <c r="G64">
        <v>28.974018746826427</v>
      </c>
      <c r="H64">
        <v>23.788588784204514</v>
      </c>
      <c r="I64">
        <v>18.199198166821137</v>
      </c>
      <c r="J64">
        <v>12.368195261405315</v>
      </c>
      <c r="K64">
        <v>6.2787046610801802</v>
      </c>
      <c r="L64">
        <v>0.192565049385721</v>
      </c>
    </row>
    <row r="65" spans="1:12" x14ac:dyDescent="0.25">
      <c r="A65" t="s">
        <v>10</v>
      </c>
      <c r="B65" t="s">
        <v>24</v>
      </c>
      <c r="C65">
        <v>20.344499596279579</v>
      </c>
      <c r="D65">
        <v>23.55734014705023</v>
      </c>
      <c r="E65">
        <v>21.658104143513938</v>
      </c>
      <c r="F65">
        <v>9.9711819461769409</v>
      </c>
      <c r="G65">
        <v>8.9268924034225368</v>
      </c>
      <c r="H65">
        <v>5.1192429415925886</v>
      </c>
      <c r="I65">
        <v>5.3667306469128393</v>
      </c>
      <c r="J65">
        <v>4.6353684691252743</v>
      </c>
      <c r="K65">
        <v>3.8653987496338154</v>
      </c>
      <c r="L65">
        <v>3.0717253032755298</v>
      </c>
    </row>
    <row r="66" spans="1:12" x14ac:dyDescent="0.25">
      <c r="A66" t="s">
        <v>10</v>
      </c>
      <c r="B66" t="s">
        <v>19</v>
      </c>
      <c r="C66">
        <v>58.528370300585962</v>
      </c>
      <c r="D66">
        <v>65.417101726331126</v>
      </c>
      <c r="E66">
        <v>45.655986382488173</v>
      </c>
      <c r="F66">
        <v>39.342073724865664</v>
      </c>
      <c r="G66">
        <v>29.391612781874723</v>
      </c>
      <c r="H66">
        <v>15.40119857710331</v>
      </c>
      <c r="I66">
        <v>14.091610885150567</v>
      </c>
      <c r="J66">
        <v>14.113680070032009</v>
      </c>
      <c r="K66">
        <v>14.126511882232144</v>
      </c>
      <c r="L66">
        <v>14.152012374675968</v>
      </c>
    </row>
    <row r="67" spans="1:12" x14ac:dyDescent="0.25">
      <c r="A67" t="s">
        <v>10</v>
      </c>
      <c r="B67" t="s">
        <v>13</v>
      </c>
      <c r="C67">
        <v>408.05131792470206</v>
      </c>
      <c r="D67">
        <v>369.39926787179326</v>
      </c>
      <c r="E67">
        <v>330.90823869246157</v>
      </c>
      <c r="F67">
        <v>327.23497624953399</v>
      </c>
      <c r="G67">
        <v>288.40034384396876</v>
      </c>
      <c r="H67">
        <v>227.05564038825349</v>
      </c>
      <c r="I67">
        <v>176.95264450500162</v>
      </c>
      <c r="J67">
        <v>126.34245156408083</v>
      </c>
      <c r="K67">
        <v>75.134748987628157</v>
      </c>
      <c r="L67">
        <v>23.927186019029332</v>
      </c>
    </row>
    <row r="68" spans="1:12" x14ac:dyDescent="0.25">
      <c r="A68" t="s">
        <v>10</v>
      </c>
      <c r="B68" t="s">
        <v>12</v>
      </c>
      <c r="C68">
        <v>836.18857958160208</v>
      </c>
      <c r="D68">
        <v>801.43148742783171</v>
      </c>
      <c r="E68">
        <v>777.20502636474941</v>
      </c>
      <c r="F68">
        <v>672.21668777889874</v>
      </c>
      <c r="G68">
        <v>533.64950128174303</v>
      </c>
      <c r="H68">
        <v>344.14149691990934</v>
      </c>
      <c r="I68">
        <v>245.5081559052457</v>
      </c>
      <c r="J68">
        <v>140.91670693955831</v>
      </c>
      <c r="K68">
        <v>35.371639571130864</v>
      </c>
      <c r="L68">
        <v>30.33379719902943</v>
      </c>
    </row>
    <row r="69" spans="1:12" x14ac:dyDescent="0.25">
      <c r="A69" t="s">
        <v>10</v>
      </c>
      <c r="B69" t="s">
        <v>34</v>
      </c>
      <c r="C69">
        <v>111.05743091541054</v>
      </c>
      <c r="D69">
        <v>98.642052513019877</v>
      </c>
      <c r="E69">
        <v>77.618089549647848</v>
      </c>
      <c r="F69">
        <v>62.512570019016835</v>
      </c>
      <c r="G69">
        <v>54.15487879858992</v>
      </c>
      <c r="H69">
        <v>42.024600180938421</v>
      </c>
      <c r="I69">
        <v>32.476958589379869</v>
      </c>
      <c r="J69">
        <v>22.904239756547174</v>
      </c>
      <c r="K69">
        <v>12.981906433560182</v>
      </c>
      <c r="L69">
        <v>3.0620012696291585</v>
      </c>
    </row>
    <row r="70" spans="1:12" x14ac:dyDescent="0.25">
      <c r="A70" t="s">
        <v>10</v>
      </c>
      <c r="B70" t="s">
        <v>25</v>
      </c>
      <c r="C70">
        <v>58.49723747612213</v>
      </c>
      <c r="D70">
        <v>50.241171730148629</v>
      </c>
      <c r="E70">
        <v>45.19885706809491</v>
      </c>
      <c r="F70">
        <v>46.92719677130556</v>
      </c>
      <c r="G70">
        <v>43.264580442072607</v>
      </c>
      <c r="H70">
        <v>34.629501883614438</v>
      </c>
      <c r="I70">
        <v>27.394334550204821</v>
      </c>
      <c r="J70">
        <v>19.851071544815859</v>
      </c>
      <c r="K70">
        <v>12.258548945565455</v>
      </c>
      <c r="L70">
        <v>4.6302014403690492</v>
      </c>
    </row>
    <row r="71" spans="1:12" x14ac:dyDescent="0.25">
      <c r="A71" t="s">
        <v>10</v>
      </c>
      <c r="B71" t="s">
        <v>21</v>
      </c>
      <c r="C71">
        <v>50.034393289212673</v>
      </c>
      <c r="D71">
        <v>44.271302335502249</v>
      </c>
      <c r="E71">
        <v>40.482707922148322</v>
      </c>
      <c r="F71">
        <v>34.245480943731323</v>
      </c>
      <c r="G71">
        <v>31.931198125000492</v>
      </c>
      <c r="H71">
        <v>28.134833088994245</v>
      </c>
      <c r="I71">
        <v>20.659940096931216</v>
      </c>
      <c r="J71">
        <v>13.101143960595897</v>
      </c>
      <c r="K71">
        <v>5.4569932715176543</v>
      </c>
      <c r="L71">
        <v>-2.187854621272693</v>
      </c>
    </row>
    <row r="72" spans="1:12" x14ac:dyDescent="0.25">
      <c r="A72" t="s">
        <v>10</v>
      </c>
      <c r="B72" t="s">
        <v>33</v>
      </c>
      <c r="C72">
        <v>481.37668531221919</v>
      </c>
      <c r="D72">
        <v>416.21484433048818</v>
      </c>
      <c r="E72">
        <v>354.13685421465601</v>
      </c>
      <c r="F72">
        <v>301.59848414726002</v>
      </c>
      <c r="G72">
        <v>281.34352925721544</v>
      </c>
      <c r="H72">
        <v>241.95122611363738</v>
      </c>
      <c r="I72">
        <v>173.0371177029142</v>
      </c>
      <c r="J72">
        <v>125.53904180403043</v>
      </c>
      <c r="K72">
        <v>77.709917937406715</v>
      </c>
      <c r="L72">
        <v>29.744555109951662</v>
      </c>
    </row>
    <row r="73" spans="1:12" x14ac:dyDescent="0.25">
      <c r="A73" t="s">
        <v>10</v>
      </c>
      <c r="B73" t="s">
        <v>22</v>
      </c>
      <c r="C73">
        <v>8.3819959966428499</v>
      </c>
      <c r="D73">
        <v>8.9669783035671795</v>
      </c>
      <c r="E73">
        <v>7.6590290155701997</v>
      </c>
      <c r="F73">
        <v>6.6894174415586294</v>
      </c>
      <c r="G73">
        <v>5.6923541166185023</v>
      </c>
      <c r="H73">
        <v>4.3131212129273884</v>
      </c>
      <c r="I73">
        <v>3.3530983469245519</v>
      </c>
      <c r="J73">
        <v>2.3931209565029112</v>
      </c>
      <c r="K73">
        <v>1.3929734984154156</v>
      </c>
      <c r="L73">
        <v>0.39283774156850076</v>
      </c>
    </row>
    <row r="74" spans="1:12" x14ac:dyDescent="0.25">
      <c r="A74" t="s">
        <v>10</v>
      </c>
      <c r="B74" t="s">
        <v>23</v>
      </c>
      <c r="C74">
        <v>14.492153915567091</v>
      </c>
      <c r="D74">
        <v>15.01699059836662</v>
      </c>
      <c r="E74">
        <v>13.317265254116508</v>
      </c>
      <c r="F74">
        <v>13.558107040395621</v>
      </c>
      <c r="G74">
        <v>11.526305320577677</v>
      </c>
      <c r="H74">
        <v>9.4474721899971605</v>
      </c>
      <c r="I74">
        <v>8.074467665090479</v>
      </c>
      <c r="J74">
        <v>6.4810873914317133</v>
      </c>
      <c r="K74">
        <v>4.8627792903149016</v>
      </c>
      <c r="L74">
        <v>3.2446453603038776</v>
      </c>
    </row>
    <row r="75" spans="1:12" x14ac:dyDescent="0.25">
      <c r="A75" t="s">
        <v>10</v>
      </c>
      <c r="B75" t="s">
        <v>16</v>
      </c>
      <c r="C75">
        <v>12.615250230214762</v>
      </c>
      <c r="D75">
        <v>11.812678448183314</v>
      </c>
      <c r="E75">
        <v>10.114719884393326</v>
      </c>
      <c r="F75">
        <v>9.4560813089079279</v>
      </c>
      <c r="G75">
        <v>7.6009051622951418</v>
      </c>
      <c r="H75">
        <v>4.9684806243039983</v>
      </c>
      <c r="I75">
        <v>3.8328238410487976</v>
      </c>
      <c r="J75">
        <v>2.6971836199541275</v>
      </c>
      <c r="K75">
        <v>1.5304065474507349</v>
      </c>
      <c r="L75">
        <v>0.36364788001852405</v>
      </c>
    </row>
    <row r="76" spans="1:12" x14ac:dyDescent="0.25">
      <c r="A76" t="s">
        <v>10</v>
      </c>
      <c r="B76" t="s">
        <v>38</v>
      </c>
      <c r="C76">
        <v>4.7346551248958271</v>
      </c>
      <c r="D76">
        <v>7.1280184619588125</v>
      </c>
      <c r="E76">
        <v>6.5681098947601377</v>
      </c>
      <c r="F76">
        <v>6.6273178328659244</v>
      </c>
      <c r="G76">
        <v>7.0140160434638474</v>
      </c>
      <c r="H76">
        <v>7.0934871521438714</v>
      </c>
      <c r="I76">
        <v>5.4767094127928519</v>
      </c>
      <c r="J76">
        <v>3.8599037579947835</v>
      </c>
      <c r="K76">
        <v>1.9291372563907947</v>
      </c>
      <c r="L76" s="1">
        <v>-1.6831205974012662E-3</v>
      </c>
    </row>
    <row r="77" spans="1:12" x14ac:dyDescent="0.25">
      <c r="A77" t="s">
        <v>10</v>
      </c>
      <c r="B77" t="s">
        <v>14</v>
      </c>
      <c r="C77">
        <v>232.37430947656185</v>
      </c>
      <c r="D77">
        <v>229.35102845131811</v>
      </c>
      <c r="E77">
        <v>212.77267723941046</v>
      </c>
      <c r="F77">
        <v>186.24036342252936</v>
      </c>
      <c r="G77">
        <v>167.94194522819592</v>
      </c>
      <c r="H77">
        <v>132.17530762285645</v>
      </c>
      <c r="I77">
        <v>99.985346120126025</v>
      </c>
      <c r="J77">
        <v>67.077572971271081</v>
      </c>
      <c r="K77">
        <v>32.01383514876818</v>
      </c>
      <c r="L77">
        <v>-3.0577579140746303</v>
      </c>
    </row>
    <row r="78" spans="1:12" x14ac:dyDescent="0.25">
      <c r="A78" t="s">
        <v>10</v>
      </c>
      <c r="B78" t="s">
        <v>26</v>
      </c>
      <c r="C78">
        <v>324.0372964701919</v>
      </c>
      <c r="D78">
        <v>336.03927186182949</v>
      </c>
      <c r="E78">
        <v>309.15471122104032</v>
      </c>
      <c r="F78">
        <v>298.66432462909756</v>
      </c>
      <c r="G78">
        <v>244.05704642084422</v>
      </c>
      <c r="H78">
        <v>163.63389025419318</v>
      </c>
      <c r="I78">
        <v>132.02345922565519</v>
      </c>
      <c r="J78">
        <v>98.336917376376846</v>
      </c>
      <c r="K78">
        <v>64.81424480220673</v>
      </c>
      <c r="L78">
        <v>31.322190453263858</v>
      </c>
    </row>
    <row r="79" spans="1:12" x14ac:dyDescent="0.25">
      <c r="A79" t="s">
        <v>10</v>
      </c>
      <c r="B79" t="s">
        <v>36</v>
      </c>
      <c r="C79">
        <v>68.717148117037837</v>
      </c>
      <c r="D79">
        <v>56.586258343280889</v>
      </c>
      <c r="E79">
        <v>57.429599178880721</v>
      </c>
      <c r="F79">
        <v>47.558430467191734</v>
      </c>
      <c r="G79">
        <v>39.382871084826022</v>
      </c>
      <c r="H79">
        <v>30.970889958070607</v>
      </c>
      <c r="I79">
        <v>23.589769046573615</v>
      </c>
      <c r="J79">
        <v>12.959140523759514</v>
      </c>
      <c r="K79">
        <v>2.1078720840620271</v>
      </c>
      <c r="L79">
        <v>1.0059100421799831</v>
      </c>
    </row>
    <row r="80" spans="1:12" x14ac:dyDescent="0.25">
      <c r="A80" t="s">
        <v>10</v>
      </c>
      <c r="B80" t="s">
        <v>30</v>
      </c>
      <c r="C80">
        <v>98.323013765059457</v>
      </c>
      <c r="D80">
        <v>79.595985102228013</v>
      </c>
      <c r="E80">
        <v>72.026460941596014</v>
      </c>
      <c r="F80">
        <v>74.592736250326894</v>
      </c>
      <c r="G80">
        <v>65.319564662902451</v>
      </c>
      <c r="H80">
        <v>51.18924993605809</v>
      </c>
      <c r="I80">
        <v>42.926170511504885</v>
      </c>
      <c r="J80">
        <v>34.058002169373822</v>
      </c>
      <c r="K80">
        <v>25.121931260934922</v>
      </c>
      <c r="L80">
        <v>16.153405594113298</v>
      </c>
    </row>
    <row r="81" spans="1:12" x14ac:dyDescent="0.25">
      <c r="A81" t="s">
        <v>10</v>
      </c>
      <c r="B81" t="s">
        <v>28</v>
      </c>
      <c r="C81">
        <v>39.921459128879491</v>
      </c>
      <c r="D81">
        <v>37.003800633426408</v>
      </c>
      <c r="E81">
        <v>31.479380065273901</v>
      </c>
      <c r="F81">
        <v>30.972847200949971</v>
      </c>
      <c r="G81">
        <v>27.372960338911806</v>
      </c>
      <c r="H81">
        <v>21.705556183312456</v>
      </c>
      <c r="I81">
        <v>17.980896577930114</v>
      </c>
      <c r="J81">
        <v>13.837251491123615</v>
      </c>
      <c r="K81">
        <v>9.6867832438007291</v>
      </c>
      <c r="L81">
        <v>5.4478608675029347</v>
      </c>
    </row>
    <row r="82" spans="1:12" x14ac:dyDescent="0.25">
      <c r="A82" t="s">
        <v>10</v>
      </c>
      <c r="B82" t="s">
        <v>29</v>
      </c>
      <c r="C82">
        <v>16.181538539967246</v>
      </c>
      <c r="D82">
        <v>15.882159360496848</v>
      </c>
      <c r="E82">
        <v>13.112223974477754</v>
      </c>
      <c r="F82">
        <v>13.145912838799834</v>
      </c>
      <c r="G82">
        <v>11.860335932706858</v>
      </c>
      <c r="H82">
        <v>9.0609290008596659</v>
      </c>
      <c r="I82">
        <v>6.829572169578868</v>
      </c>
      <c r="J82">
        <v>4.597947231041867</v>
      </c>
      <c r="K82">
        <v>2.354985800623326</v>
      </c>
      <c r="L82">
        <v>0.1119195556265533</v>
      </c>
    </row>
    <row r="83" spans="1:12" x14ac:dyDescent="0.25">
      <c r="A83" t="s">
        <v>10</v>
      </c>
      <c r="B83" t="s">
        <v>35</v>
      </c>
      <c r="C83">
        <v>392.51951317562333</v>
      </c>
      <c r="D83">
        <v>306.85706990117677</v>
      </c>
      <c r="E83">
        <v>299.05625632335727</v>
      </c>
      <c r="F83">
        <v>257.96626470332296</v>
      </c>
      <c r="G83">
        <v>219.51314176449009</v>
      </c>
      <c r="H83">
        <v>165.90871487430724</v>
      </c>
      <c r="I83">
        <v>133.90541482690585</v>
      </c>
      <c r="J83">
        <v>101.68467276070334</v>
      </c>
      <c r="K83">
        <v>68.030448917513311</v>
      </c>
      <c r="L83">
        <v>34.388720238652127</v>
      </c>
    </row>
    <row r="84" spans="1:12" x14ac:dyDescent="0.25">
      <c r="A84" t="s">
        <v>10</v>
      </c>
      <c r="B84" t="s">
        <v>18</v>
      </c>
      <c r="C84">
        <v>60.262381108915285</v>
      </c>
      <c r="D84">
        <v>57.781221373242403</v>
      </c>
      <c r="E84">
        <v>45.3448261059334</v>
      </c>
      <c r="F84">
        <v>46.52632900498314</v>
      </c>
      <c r="G84">
        <v>42.185608319430358</v>
      </c>
      <c r="H84">
        <v>35.971383718425251</v>
      </c>
      <c r="I84">
        <v>27.839275529668807</v>
      </c>
      <c r="J84">
        <v>23.251441636151537</v>
      </c>
      <c r="K84">
        <v>17.733916245154106</v>
      </c>
      <c r="L84">
        <v>12.435416319416291</v>
      </c>
    </row>
    <row r="85" spans="1:12" x14ac:dyDescent="0.25">
      <c r="A85" t="s">
        <v>10</v>
      </c>
      <c r="B85" t="s">
        <v>60</v>
      </c>
      <c r="C85">
        <f>SUM(C58:C84)</f>
        <v>3773.0156509100566</v>
      </c>
      <c r="D85">
        <f t="shared" ref="D85" si="2">SUM(D58:D84)</f>
        <v>3483.0711483155437</v>
      </c>
      <c r="E85">
        <f t="shared" ref="E85" si="3">SUM(E58:E84)</f>
        <v>3166.4750488923078</v>
      </c>
      <c r="F85">
        <f t="shared" ref="F85" si="4">SUM(F58:F84)</f>
        <v>2858.981770988501</v>
      </c>
      <c r="G85">
        <f t="shared" ref="G85" si="5">SUM(G58:G84)</f>
        <v>2427.4275035671108</v>
      </c>
      <c r="H85">
        <f t="shared" ref="H85" si="6">SUM(H58:H84)</f>
        <v>1810.1814722486138</v>
      </c>
      <c r="I85">
        <f t="shared" ref="I85" si="7">SUM(I58:I84)</f>
        <v>1379.1022048794332</v>
      </c>
      <c r="J85">
        <f t="shared" ref="J85" si="8">SUM(J58:J84)</f>
        <v>956.21425330406134</v>
      </c>
      <c r="K85">
        <f t="shared" ref="K85" si="9">SUM(K58:K84)</f>
        <v>538.03082686866469</v>
      </c>
      <c r="L85">
        <f t="shared" ref="L85" si="10">SUM(L58:L84)</f>
        <v>230.27513168012075</v>
      </c>
    </row>
    <row r="86" spans="1:12" x14ac:dyDescent="0.25">
      <c r="A86" t="s">
        <v>62</v>
      </c>
      <c r="B86" t="s">
        <v>17</v>
      </c>
      <c r="C86">
        <v>76.565801514373234</v>
      </c>
      <c r="D86">
        <v>69.296904290835499</v>
      </c>
      <c r="E86">
        <v>62.784575979100239</v>
      </c>
      <c r="F86">
        <v>61.410656666784682</v>
      </c>
      <c r="G86">
        <v>48.673000457847287</v>
      </c>
      <c r="H86">
        <v>33.028230362207964</v>
      </c>
      <c r="I86">
        <v>19.079613109853678</v>
      </c>
      <c r="J86">
        <v>4.9958591222067472</v>
      </c>
      <c r="K86">
        <v>4.8242419364828937</v>
      </c>
      <c r="L86">
        <v>4.643165788640796</v>
      </c>
    </row>
    <row r="87" spans="1:12" x14ac:dyDescent="0.25">
      <c r="A87" t="s">
        <v>62</v>
      </c>
      <c r="B87" t="s">
        <v>15</v>
      </c>
      <c r="C87">
        <v>135.79404224978938</v>
      </c>
      <c r="D87">
        <v>133.32782575919163</v>
      </c>
      <c r="E87">
        <v>116.62793496572472</v>
      </c>
      <c r="F87">
        <v>107.1443364114681</v>
      </c>
      <c r="G87">
        <v>100.43270423295719</v>
      </c>
      <c r="H87">
        <v>86.802093153975306</v>
      </c>
      <c r="I87">
        <v>65.893056783017514</v>
      </c>
      <c r="J87">
        <v>44.984210206377846</v>
      </c>
      <c r="K87">
        <v>23.043236951636164</v>
      </c>
      <c r="L87">
        <v>1.1022081592121133</v>
      </c>
    </row>
    <row r="88" spans="1:12" x14ac:dyDescent="0.25">
      <c r="A88" t="s">
        <v>62</v>
      </c>
      <c r="B88" t="s">
        <v>31</v>
      </c>
      <c r="C88">
        <v>50.893908707541975</v>
      </c>
      <c r="D88">
        <v>46.766321741323281</v>
      </c>
      <c r="E88">
        <v>46.815387939318477</v>
      </c>
      <c r="F88">
        <v>42.886994112612179</v>
      </c>
      <c r="G88">
        <v>30.448828591024604</v>
      </c>
      <c r="H88">
        <v>21.129247644622922</v>
      </c>
      <c r="I88">
        <v>17.936825838165767</v>
      </c>
      <c r="J88">
        <v>14.510544131982883</v>
      </c>
      <c r="K88">
        <v>11.021904920782243</v>
      </c>
      <c r="L88">
        <v>7.5293528588187408</v>
      </c>
    </row>
    <row r="89" spans="1:12" x14ac:dyDescent="0.25">
      <c r="A89" t="s">
        <v>62</v>
      </c>
      <c r="B89" t="s">
        <v>32</v>
      </c>
      <c r="C89">
        <v>23.430815411053814</v>
      </c>
      <c r="D89">
        <v>21.247642513355828</v>
      </c>
      <c r="E89">
        <v>18.021702100248106</v>
      </c>
      <c r="F89">
        <v>16.415415225090129</v>
      </c>
      <c r="G89">
        <v>14.956977230331406</v>
      </c>
      <c r="H89">
        <v>12.6558787254507</v>
      </c>
      <c r="I89">
        <v>10.736084028536865</v>
      </c>
      <c r="J89">
        <v>8.6494120725457471</v>
      </c>
      <c r="K89">
        <v>6.5938982776126345</v>
      </c>
      <c r="L89">
        <v>4.4754454702621072</v>
      </c>
    </row>
    <row r="90" spans="1:12" x14ac:dyDescent="0.25">
      <c r="A90" t="s">
        <v>62</v>
      </c>
      <c r="B90" t="s">
        <v>37</v>
      </c>
      <c r="C90">
        <v>9.4068947852645284</v>
      </c>
      <c r="D90">
        <v>9.2816202359003412</v>
      </c>
      <c r="E90">
        <v>8.0030092484367987</v>
      </c>
      <c r="F90">
        <v>7.9929658311528691</v>
      </c>
      <c r="G90">
        <v>6.6619178912540908</v>
      </c>
      <c r="H90">
        <v>5.7752549961726407</v>
      </c>
      <c r="I90">
        <v>4.4303584608138662</v>
      </c>
      <c r="J90">
        <v>3.0849796881058302</v>
      </c>
      <c r="K90">
        <v>1.6844663489378304</v>
      </c>
      <c r="L90">
        <v>0.2839216788684672</v>
      </c>
    </row>
    <row r="91" spans="1:12" x14ac:dyDescent="0.25">
      <c r="A91" t="s">
        <v>62</v>
      </c>
      <c r="B91" t="s">
        <v>27</v>
      </c>
      <c r="C91">
        <v>126.35963055620583</v>
      </c>
      <c r="D91">
        <v>119.6874626796001</v>
      </c>
      <c r="E91">
        <v>106.53869493160713</v>
      </c>
      <c r="F91">
        <v>104.63816375974208</v>
      </c>
      <c r="G91">
        <v>76.780188781186908</v>
      </c>
      <c r="H91">
        <v>52.236679242068199</v>
      </c>
      <c r="I91">
        <v>41.578447594895586</v>
      </c>
      <c r="J91">
        <v>28.953082942344594</v>
      </c>
      <c r="K91">
        <v>16.068377593677024</v>
      </c>
      <c r="L91">
        <v>3.4421145326587768</v>
      </c>
    </row>
    <row r="92" spans="1:12" x14ac:dyDescent="0.25">
      <c r="A92" t="s">
        <v>62</v>
      </c>
      <c r="B92" t="s">
        <v>20</v>
      </c>
      <c r="C92">
        <v>53.998425371317531</v>
      </c>
      <c r="D92">
        <v>52.211624870914989</v>
      </c>
      <c r="E92">
        <v>36.80212478710019</v>
      </c>
      <c r="F92">
        <v>32.433174113307963</v>
      </c>
      <c r="G92">
        <v>28.964221172940018</v>
      </c>
      <c r="H92">
        <v>23.790404492927241</v>
      </c>
      <c r="I92">
        <v>18.204521682304534</v>
      </c>
      <c r="J92">
        <v>12.375637449836645</v>
      </c>
      <c r="K92">
        <v>6.2884956977426807</v>
      </c>
      <c r="L92">
        <v>0.2054404325581351</v>
      </c>
    </row>
    <row r="93" spans="1:12" x14ac:dyDescent="0.25">
      <c r="A93" t="s">
        <v>62</v>
      </c>
      <c r="B93" t="s">
        <v>24</v>
      </c>
      <c r="C93">
        <v>20.344499596279579</v>
      </c>
      <c r="D93">
        <v>23.55734014705023</v>
      </c>
      <c r="E93">
        <v>21.658104143513938</v>
      </c>
      <c r="F93">
        <v>10.306085932233188</v>
      </c>
      <c r="G93">
        <v>9.3746812536823043</v>
      </c>
      <c r="H93">
        <v>5.8363971231879965</v>
      </c>
      <c r="I93">
        <v>5.8617318570525789</v>
      </c>
      <c r="J93">
        <v>5.0223133398836417</v>
      </c>
      <c r="K93">
        <v>4.1763507626698217</v>
      </c>
      <c r="L93">
        <v>3.2897735957352072</v>
      </c>
    </row>
    <row r="94" spans="1:12" x14ac:dyDescent="0.25">
      <c r="A94" t="s">
        <v>62</v>
      </c>
      <c r="B94" t="s">
        <v>19</v>
      </c>
      <c r="C94">
        <v>58.528370300585962</v>
      </c>
      <c r="D94">
        <v>65.417101726331126</v>
      </c>
      <c r="E94">
        <v>45.655986382488173</v>
      </c>
      <c r="F94">
        <v>39.342516944141366</v>
      </c>
      <c r="G94">
        <v>29.417841437846025</v>
      </c>
      <c r="H94">
        <v>15.461072261313619</v>
      </c>
      <c r="I94">
        <v>14.148414667708778</v>
      </c>
      <c r="J94">
        <v>14.129979951447599</v>
      </c>
      <c r="K94">
        <v>14.129446136430456</v>
      </c>
      <c r="L94">
        <v>14.137426236358776</v>
      </c>
    </row>
    <row r="95" spans="1:12" x14ac:dyDescent="0.25">
      <c r="A95" t="s">
        <v>62</v>
      </c>
      <c r="B95" t="s">
        <v>13</v>
      </c>
      <c r="C95">
        <v>408.05131792470206</v>
      </c>
      <c r="D95">
        <v>369.39926787179326</v>
      </c>
      <c r="E95">
        <v>330.90823869246157</v>
      </c>
      <c r="F95">
        <v>327.23298221667841</v>
      </c>
      <c r="G95">
        <v>288.40134244979333</v>
      </c>
      <c r="H95">
        <v>227.0595716461699</v>
      </c>
      <c r="I95">
        <v>176.95514183327083</v>
      </c>
      <c r="J95">
        <v>126.34587809865259</v>
      </c>
      <c r="K95">
        <v>75.139603011772579</v>
      </c>
      <c r="L95">
        <v>23.93060353956772</v>
      </c>
    </row>
    <row r="96" spans="1:12" x14ac:dyDescent="0.25">
      <c r="A96" t="s">
        <v>62</v>
      </c>
      <c r="B96" t="s">
        <v>12</v>
      </c>
      <c r="C96">
        <v>836.18857958160208</v>
      </c>
      <c r="D96">
        <v>801.43148742783171</v>
      </c>
      <c r="E96">
        <v>777.20502636474941</v>
      </c>
      <c r="F96">
        <v>672.34808597971426</v>
      </c>
      <c r="G96">
        <v>534.17208724384602</v>
      </c>
      <c r="H96">
        <v>345.38173811133163</v>
      </c>
      <c r="I96">
        <v>246.03413826945902</v>
      </c>
      <c r="J96">
        <v>140.77213283623252</v>
      </c>
      <c r="K96">
        <v>34.790664067640769</v>
      </c>
      <c r="L96">
        <v>29.659550588591792</v>
      </c>
    </row>
    <row r="97" spans="1:12" x14ac:dyDescent="0.25">
      <c r="A97" t="s">
        <v>62</v>
      </c>
      <c r="B97" t="s">
        <v>34</v>
      </c>
      <c r="C97">
        <v>111.05743091541054</v>
      </c>
      <c r="D97">
        <v>98.642052513019877</v>
      </c>
      <c r="E97">
        <v>77.618089549647848</v>
      </c>
      <c r="F97">
        <v>62.512679833671847</v>
      </c>
      <c r="G97">
        <v>54.154282944248742</v>
      </c>
      <c r="H97">
        <v>42.024349182246134</v>
      </c>
      <c r="I97">
        <v>32.481779393233701</v>
      </c>
      <c r="J97">
        <v>22.904702059367292</v>
      </c>
      <c r="K97">
        <v>12.982352614287239</v>
      </c>
      <c r="L97">
        <v>3.0623521613244429</v>
      </c>
    </row>
    <row r="98" spans="1:12" x14ac:dyDescent="0.25">
      <c r="A98" t="s">
        <v>62</v>
      </c>
      <c r="B98" t="s">
        <v>25</v>
      </c>
      <c r="C98">
        <v>58.49723747612213</v>
      </c>
      <c r="D98">
        <v>50.241171730148629</v>
      </c>
      <c r="E98">
        <v>45.19885706809491</v>
      </c>
      <c r="F98">
        <v>46.909754073766024</v>
      </c>
      <c r="G98">
        <v>43.250290242757551</v>
      </c>
      <c r="H98">
        <v>34.640288786326899</v>
      </c>
      <c r="I98">
        <v>27.395146544762962</v>
      </c>
      <c r="J98">
        <v>19.846682089709788</v>
      </c>
      <c r="K98">
        <v>12.262851684121685</v>
      </c>
      <c r="L98">
        <v>4.6341036014333588</v>
      </c>
    </row>
    <row r="99" spans="1:12" x14ac:dyDescent="0.25">
      <c r="A99" t="s">
        <v>62</v>
      </c>
      <c r="B99" t="s">
        <v>21</v>
      </c>
      <c r="C99">
        <v>50.034393289212673</v>
      </c>
      <c r="D99">
        <v>44.271302335502249</v>
      </c>
      <c r="E99">
        <v>40.482707922148322</v>
      </c>
      <c r="F99">
        <v>34.255388258679687</v>
      </c>
      <c r="G99">
        <v>31.945634152114451</v>
      </c>
      <c r="H99">
        <v>28.145088699150655</v>
      </c>
      <c r="I99">
        <v>20.661500432466454</v>
      </c>
      <c r="J99">
        <v>13.097449731136011</v>
      </c>
      <c r="K99">
        <v>5.4457237224703894</v>
      </c>
      <c r="L99">
        <v>-2.1960277349998969</v>
      </c>
    </row>
    <row r="100" spans="1:12" x14ac:dyDescent="0.25">
      <c r="A100" t="s">
        <v>62</v>
      </c>
      <c r="B100" t="s">
        <v>33</v>
      </c>
      <c r="C100">
        <v>481.37668531221919</v>
      </c>
      <c r="D100">
        <v>416.21484433048818</v>
      </c>
      <c r="E100">
        <v>354.13685421465601</v>
      </c>
      <c r="F100">
        <v>301.50559163692412</v>
      </c>
      <c r="G100">
        <v>281.17823911207722</v>
      </c>
      <c r="H100">
        <v>241.84009694550659</v>
      </c>
      <c r="I100">
        <v>172.94789396988111</v>
      </c>
      <c r="J100">
        <v>125.48638945143499</v>
      </c>
      <c r="K100">
        <v>77.692027260546453</v>
      </c>
      <c r="L100">
        <v>29.764791370749723</v>
      </c>
    </row>
    <row r="101" spans="1:12" x14ac:dyDescent="0.25">
      <c r="A101" t="s">
        <v>62</v>
      </c>
      <c r="B101" t="s">
        <v>22</v>
      </c>
      <c r="C101">
        <v>8.3819959966428499</v>
      </c>
      <c r="D101">
        <v>8.9669783035671795</v>
      </c>
      <c r="E101">
        <v>7.6590290155701997</v>
      </c>
      <c r="F101">
        <v>6.6894055101669903</v>
      </c>
      <c r="G101">
        <v>5.6923360470309214</v>
      </c>
      <c r="H101">
        <v>4.3131258156163641</v>
      </c>
      <c r="I101">
        <v>3.3531024586047367</v>
      </c>
      <c r="J101">
        <v>2.3931072255248318</v>
      </c>
      <c r="K101">
        <v>1.3929930966468935</v>
      </c>
      <c r="L101">
        <v>0.39286720799972435</v>
      </c>
    </row>
    <row r="102" spans="1:12" x14ac:dyDescent="0.25">
      <c r="A102" t="s">
        <v>62</v>
      </c>
      <c r="B102" t="s">
        <v>23</v>
      </c>
      <c r="C102">
        <v>14.492153915567091</v>
      </c>
      <c r="D102">
        <v>15.01699059836662</v>
      </c>
      <c r="E102">
        <v>13.317265254116508</v>
      </c>
      <c r="F102">
        <v>13.556699677733432</v>
      </c>
      <c r="G102">
        <v>11.525226832718429</v>
      </c>
      <c r="H102">
        <v>9.445491170536469</v>
      </c>
      <c r="I102">
        <v>8.0755817512966139</v>
      </c>
      <c r="J102">
        <v>6.4858251715626638</v>
      </c>
      <c r="K102">
        <v>4.86835722593925</v>
      </c>
      <c r="L102">
        <v>3.250305760091889</v>
      </c>
    </row>
    <row r="103" spans="1:12" x14ac:dyDescent="0.25">
      <c r="A103" t="s">
        <v>62</v>
      </c>
      <c r="B103" t="s">
        <v>16</v>
      </c>
      <c r="C103">
        <v>12.615250230214762</v>
      </c>
      <c r="D103">
        <v>11.812678448183314</v>
      </c>
      <c r="E103">
        <v>10.114719884393326</v>
      </c>
      <c r="F103">
        <v>9.456081918753986</v>
      </c>
      <c r="G103">
        <v>7.6009224132602666</v>
      </c>
      <c r="H103">
        <v>4.9684497375343177</v>
      </c>
      <c r="I103">
        <v>3.8328427219524577</v>
      </c>
      <c r="J103">
        <v>2.6971798922854027</v>
      </c>
      <c r="K103">
        <v>1.5304085277148327</v>
      </c>
      <c r="L103">
        <v>0.36365159516251377</v>
      </c>
    </row>
    <row r="104" spans="1:12" x14ac:dyDescent="0.25">
      <c r="A104" t="s">
        <v>62</v>
      </c>
      <c r="B104" t="s">
        <v>38</v>
      </c>
      <c r="C104">
        <v>4.7346551248958271</v>
      </c>
      <c r="D104">
        <v>7.1280184619588125</v>
      </c>
      <c r="E104">
        <v>6.5681098947601377</v>
      </c>
      <c r="F104">
        <v>6.6268338898428159</v>
      </c>
      <c r="G104">
        <v>7.0140144962220123</v>
      </c>
      <c r="H104">
        <v>7.093483600130547</v>
      </c>
      <c r="I104">
        <v>5.4767008705406033</v>
      </c>
      <c r="J104">
        <v>3.8601928417184297</v>
      </c>
      <c r="K104">
        <v>1.9291316574780193</v>
      </c>
      <c r="L104" s="1">
        <v>-1.6788019113302122E-3</v>
      </c>
    </row>
    <row r="105" spans="1:12" x14ac:dyDescent="0.25">
      <c r="A105" t="s">
        <v>62</v>
      </c>
      <c r="B105" t="s">
        <v>14</v>
      </c>
      <c r="C105">
        <v>232.37430947656185</v>
      </c>
      <c r="D105">
        <v>229.35102845131811</v>
      </c>
      <c r="E105">
        <v>212.77267723941046</v>
      </c>
      <c r="F105">
        <v>186.18188917086505</v>
      </c>
      <c r="G105">
        <v>167.93200998506342</v>
      </c>
      <c r="H105">
        <v>132.31209429189312</v>
      </c>
      <c r="I105">
        <v>100.04676555852618</v>
      </c>
      <c r="J105">
        <v>67.092261307531956</v>
      </c>
      <c r="K105">
        <v>32.023823092389847</v>
      </c>
      <c r="L105">
        <v>-3.0476804755628719</v>
      </c>
    </row>
    <row r="106" spans="1:12" x14ac:dyDescent="0.25">
      <c r="A106" t="s">
        <v>62</v>
      </c>
      <c r="B106" t="s">
        <v>26</v>
      </c>
      <c r="C106">
        <v>324.0372964701919</v>
      </c>
      <c r="D106">
        <v>336.03927186182949</v>
      </c>
      <c r="E106">
        <v>309.15471122104032</v>
      </c>
      <c r="F106">
        <v>298.679904379552</v>
      </c>
      <c r="G106">
        <v>244.09498871326167</v>
      </c>
      <c r="H106">
        <v>163.67359306790866</v>
      </c>
      <c r="I106">
        <v>132.02912175086124</v>
      </c>
      <c r="J106">
        <v>98.286030018862604</v>
      </c>
      <c r="K106">
        <v>64.633308381136501</v>
      </c>
      <c r="L106">
        <v>31.136138052327766</v>
      </c>
    </row>
    <row r="107" spans="1:12" x14ac:dyDescent="0.25">
      <c r="A107" t="s">
        <v>62</v>
      </c>
      <c r="B107" t="s">
        <v>36</v>
      </c>
      <c r="C107">
        <v>68.717148117037837</v>
      </c>
      <c r="D107">
        <v>56.586258343280889</v>
      </c>
      <c r="E107">
        <v>57.429599178880721</v>
      </c>
      <c r="F107">
        <v>47.558431544493494</v>
      </c>
      <c r="G107">
        <v>39.382862078278912</v>
      </c>
      <c r="H107">
        <v>30.970849686775058</v>
      </c>
      <c r="I107">
        <v>23.589766444293634</v>
      </c>
      <c r="J107">
        <v>12.959105020816533</v>
      </c>
      <c r="K107">
        <v>2.1080562984618427</v>
      </c>
      <c r="L107">
        <v>1.00535072064311</v>
      </c>
    </row>
    <row r="108" spans="1:12" x14ac:dyDescent="0.25">
      <c r="A108" t="s">
        <v>62</v>
      </c>
      <c r="B108" t="s">
        <v>30</v>
      </c>
      <c r="C108">
        <v>98.323013765059457</v>
      </c>
      <c r="D108">
        <v>79.595985102228013</v>
      </c>
      <c r="E108">
        <v>72.026460941596014</v>
      </c>
      <c r="F108">
        <v>74.548536860581891</v>
      </c>
      <c r="G108">
        <v>65.257698557736219</v>
      </c>
      <c r="H108">
        <v>51.17879315113754</v>
      </c>
      <c r="I108">
        <v>42.914168108977201</v>
      </c>
      <c r="J108">
        <v>34.042848132027167</v>
      </c>
      <c r="K108">
        <v>25.120686964257214</v>
      </c>
      <c r="L108">
        <v>16.16048092993648</v>
      </c>
    </row>
    <row r="109" spans="1:12" x14ac:dyDescent="0.25">
      <c r="A109" t="s">
        <v>62</v>
      </c>
      <c r="B109" t="s">
        <v>28</v>
      </c>
      <c r="C109">
        <v>39.921459128879491</v>
      </c>
      <c r="D109">
        <v>37.003800633426408</v>
      </c>
      <c r="E109">
        <v>31.479380065273901</v>
      </c>
      <c r="F109">
        <v>30.973570653691219</v>
      </c>
      <c r="G109">
        <v>27.37696183681873</v>
      </c>
      <c r="H109">
        <v>21.713927705945526</v>
      </c>
      <c r="I109">
        <v>17.986905883101834</v>
      </c>
      <c r="J109">
        <v>13.836113652694079</v>
      </c>
      <c r="K109">
        <v>9.6859346586055768</v>
      </c>
      <c r="L109">
        <v>5.4401786253789384</v>
      </c>
    </row>
    <row r="110" spans="1:12" x14ac:dyDescent="0.25">
      <c r="A110" t="s">
        <v>62</v>
      </c>
      <c r="B110" t="s">
        <v>29</v>
      </c>
      <c r="C110">
        <v>16.181538539967246</v>
      </c>
      <c r="D110">
        <v>15.882159360496848</v>
      </c>
      <c r="E110">
        <v>13.112223974477754</v>
      </c>
      <c r="F110">
        <v>13.145887119923666</v>
      </c>
      <c r="G110">
        <v>11.860347431622197</v>
      </c>
      <c r="H110">
        <v>9.060959532701256</v>
      </c>
      <c r="I110">
        <v>6.8295632978393037</v>
      </c>
      <c r="J110">
        <v>4.5979257914997671</v>
      </c>
      <c r="K110">
        <v>2.3549941091564763</v>
      </c>
      <c r="L110">
        <v>0.111925783223549</v>
      </c>
    </row>
    <row r="111" spans="1:12" x14ac:dyDescent="0.25">
      <c r="A111" t="s">
        <v>62</v>
      </c>
      <c r="B111" t="s">
        <v>35</v>
      </c>
      <c r="C111">
        <v>392.51951317562333</v>
      </c>
      <c r="D111">
        <v>306.85706990117677</v>
      </c>
      <c r="E111">
        <v>299.05625632335727</v>
      </c>
      <c r="F111">
        <v>257.9928009738926</v>
      </c>
      <c r="G111">
        <v>219.53500751114669</v>
      </c>
      <c r="H111">
        <v>166.03699716934551</v>
      </c>
      <c r="I111">
        <v>134.04323216036207</v>
      </c>
      <c r="J111">
        <v>101.7250068529669</v>
      </c>
      <c r="K111">
        <v>68.036986633797937</v>
      </c>
      <c r="L111">
        <v>34.366881744646435</v>
      </c>
    </row>
    <row r="112" spans="1:12" x14ac:dyDescent="0.25">
      <c r="A112" t="s">
        <v>62</v>
      </c>
      <c r="B112" t="s">
        <v>18</v>
      </c>
      <c r="C112">
        <v>60.262381108915285</v>
      </c>
      <c r="D112">
        <v>57.781221373242403</v>
      </c>
      <c r="E112">
        <v>45.3448261059334</v>
      </c>
      <c r="F112">
        <v>46.527559977373663</v>
      </c>
      <c r="G112">
        <v>42.187233007058353</v>
      </c>
      <c r="H112">
        <v>35.976089137462331</v>
      </c>
      <c r="I112">
        <v>27.842956043272928</v>
      </c>
      <c r="J112">
        <v>23.251564807468267</v>
      </c>
      <c r="K112">
        <v>17.733299084706701</v>
      </c>
      <c r="L112">
        <v>12.432281078124122</v>
      </c>
    </row>
    <row r="113" spans="1:12" x14ac:dyDescent="0.25">
      <c r="A113" t="s">
        <v>62</v>
      </c>
      <c r="B113" t="s">
        <v>60</v>
      </c>
      <c r="C113">
        <f>SUM(C86:C112)</f>
        <v>3773.0887480412371</v>
      </c>
      <c r="D113">
        <f t="shared" ref="D113:L113" si="11">SUM(D86:D112)</f>
        <v>3483.0154310123608</v>
      </c>
      <c r="E113">
        <f t="shared" si="11"/>
        <v>3166.4925533881055</v>
      </c>
      <c r="F113">
        <f t="shared" si="11"/>
        <v>2859.2723926728381</v>
      </c>
      <c r="G113">
        <f t="shared" si="11"/>
        <v>2428.271846104125</v>
      </c>
      <c r="H113">
        <f t="shared" si="11"/>
        <v>1812.5502454396451</v>
      </c>
      <c r="I113">
        <f t="shared" si="11"/>
        <v>1380.3653615150524</v>
      </c>
      <c r="J113">
        <f t="shared" si="11"/>
        <v>956.38641388622329</v>
      </c>
      <c r="K113">
        <f t="shared" si="11"/>
        <v>537.56162071710185</v>
      </c>
      <c r="L113">
        <f t="shared" si="11"/>
        <v>229.57492449984056</v>
      </c>
    </row>
    <row r="114" spans="1:12" x14ac:dyDescent="0.25">
      <c r="A114" t="s">
        <v>66</v>
      </c>
      <c r="B114" t="s">
        <v>17</v>
      </c>
      <c r="H114">
        <v>46.1</v>
      </c>
    </row>
    <row r="115" spans="1:12" x14ac:dyDescent="0.25">
      <c r="A115" t="s">
        <v>66</v>
      </c>
      <c r="B115" t="s">
        <v>15</v>
      </c>
      <c r="H115">
        <v>71.599999999999994</v>
      </c>
    </row>
    <row r="116" spans="1:12" x14ac:dyDescent="0.25">
      <c r="A116" t="s">
        <v>66</v>
      </c>
      <c r="B116" t="s">
        <v>31</v>
      </c>
      <c r="H116">
        <v>28.9</v>
      </c>
    </row>
    <row r="117" spans="1:12" x14ac:dyDescent="0.25">
      <c r="A117" t="s">
        <v>66</v>
      </c>
      <c r="B117" t="s">
        <v>32</v>
      </c>
      <c r="H117">
        <v>14</v>
      </c>
    </row>
    <row r="118" spans="1:12" x14ac:dyDescent="0.25">
      <c r="A118" t="s">
        <v>66</v>
      </c>
      <c r="B118" t="s">
        <v>37</v>
      </c>
      <c r="H118">
        <v>4.7</v>
      </c>
    </row>
    <row r="119" spans="1:12" x14ac:dyDescent="0.25">
      <c r="A119" t="s">
        <v>66</v>
      </c>
      <c r="B119" t="s">
        <v>27</v>
      </c>
      <c r="H119">
        <v>52.7</v>
      </c>
    </row>
    <row r="120" spans="1:12" x14ac:dyDescent="0.25">
      <c r="A120" t="s">
        <v>66</v>
      </c>
      <c r="B120" t="s">
        <v>20</v>
      </c>
      <c r="H120">
        <v>13.7</v>
      </c>
    </row>
    <row r="121" spans="1:12" x14ac:dyDescent="0.25">
      <c r="A121" t="s">
        <v>66</v>
      </c>
      <c r="B121" t="s">
        <v>24</v>
      </c>
      <c r="H121">
        <v>11.1</v>
      </c>
    </row>
    <row r="122" spans="1:12" x14ac:dyDescent="0.25">
      <c r="A122" t="s">
        <v>66</v>
      </c>
      <c r="B122" t="s">
        <v>19</v>
      </c>
      <c r="H122">
        <v>33</v>
      </c>
    </row>
    <row r="123" spans="1:12" x14ac:dyDescent="0.25">
      <c r="A123" t="s">
        <v>66</v>
      </c>
      <c r="B123" t="s">
        <v>13</v>
      </c>
      <c r="H123">
        <v>219.5</v>
      </c>
    </row>
    <row r="124" spans="1:12" x14ac:dyDescent="0.25">
      <c r="A124" t="s">
        <v>66</v>
      </c>
      <c r="B124" t="s">
        <v>12</v>
      </c>
      <c r="H124">
        <v>432.3</v>
      </c>
    </row>
    <row r="125" spans="1:12" x14ac:dyDescent="0.25">
      <c r="A125" t="s">
        <v>66</v>
      </c>
      <c r="B125" t="s">
        <v>34</v>
      </c>
      <c r="H125">
        <v>38.299999999999997</v>
      </c>
    </row>
    <row r="126" spans="1:12" x14ac:dyDescent="0.25">
      <c r="A126" t="s">
        <v>66</v>
      </c>
      <c r="B126" t="s">
        <v>25</v>
      </c>
      <c r="H126">
        <v>36.4</v>
      </c>
    </row>
    <row r="127" spans="1:12" x14ac:dyDescent="0.25">
      <c r="A127" t="s">
        <v>66</v>
      </c>
      <c r="B127" t="s">
        <v>21</v>
      </c>
      <c r="H127">
        <v>26.8</v>
      </c>
    </row>
    <row r="128" spans="1:12" x14ac:dyDescent="0.25">
      <c r="A128" t="s">
        <v>66</v>
      </c>
      <c r="B128" t="s">
        <v>33</v>
      </c>
      <c r="H128">
        <v>235.56</v>
      </c>
    </row>
    <row r="129" spans="1:8" x14ac:dyDescent="0.25">
      <c r="A129" t="s">
        <v>66</v>
      </c>
      <c r="B129" t="s">
        <v>22</v>
      </c>
      <c r="H129">
        <v>4.0999999999999996</v>
      </c>
    </row>
    <row r="130" spans="1:8" x14ac:dyDescent="0.25">
      <c r="A130" t="s">
        <v>66</v>
      </c>
      <c r="B130" t="s">
        <v>23</v>
      </c>
      <c r="H130">
        <v>7.8</v>
      </c>
    </row>
    <row r="131" spans="1:8" x14ac:dyDescent="0.25">
      <c r="A131" t="s">
        <v>66</v>
      </c>
      <c r="B131" t="s">
        <v>16</v>
      </c>
      <c r="H131">
        <v>4.4000000000000004</v>
      </c>
    </row>
    <row r="132" spans="1:8" x14ac:dyDescent="0.25">
      <c r="A132" t="s">
        <v>66</v>
      </c>
      <c r="B132" t="s">
        <v>38</v>
      </c>
      <c r="H132">
        <v>1</v>
      </c>
    </row>
    <row r="133" spans="1:8" x14ac:dyDescent="0.25">
      <c r="A133" t="s">
        <v>66</v>
      </c>
      <c r="B133" t="s">
        <v>14</v>
      </c>
      <c r="H133">
        <v>119.45</v>
      </c>
    </row>
    <row r="134" spans="1:8" x14ac:dyDescent="0.25">
      <c r="A134" t="s">
        <v>66</v>
      </c>
      <c r="B134" t="s">
        <v>26</v>
      </c>
      <c r="H134">
        <v>270.7</v>
      </c>
    </row>
    <row r="135" spans="1:8" x14ac:dyDescent="0.25">
      <c r="A135" t="s">
        <v>66</v>
      </c>
      <c r="B135" t="s">
        <v>36</v>
      </c>
      <c r="H135">
        <v>23.2</v>
      </c>
    </row>
    <row r="136" spans="1:8" x14ac:dyDescent="0.25">
      <c r="A136" t="s">
        <v>66</v>
      </c>
      <c r="B136" t="s">
        <v>30</v>
      </c>
      <c r="H136">
        <v>39.9</v>
      </c>
    </row>
    <row r="137" spans="1:8" x14ac:dyDescent="0.25">
      <c r="A137" t="s">
        <v>66</v>
      </c>
      <c r="B137" t="s">
        <v>28</v>
      </c>
      <c r="H137">
        <v>31</v>
      </c>
    </row>
    <row r="138" spans="1:8" x14ac:dyDescent="0.25">
      <c r="A138" t="s">
        <v>66</v>
      </c>
      <c r="B138" t="s">
        <v>29</v>
      </c>
      <c r="H138">
        <v>11</v>
      </c>
    </row>
    <row r="139" spans="1:8" x14ac:dyDescent="0.25">
      <c r="A139" t="s">
        <v>66</v>
      </c>
      <c r="B139" t="s">
        <v>35</v>
      </c>
      <c r="H139">
        <v>159.80000000000001</v>
      </c>
    </row>
    <row r="140" spans="1:8" x14ac:dyDescent="0.25">
      <c r="A140" t="s">
        <v>66</v>
      </c>
      <c r="B140" t="s">
        <v>18</v>
      </c>
      <c r="H140">
        <v>35.6</v>
      </c>
    </row>
    <row r="141" spans="1:8" x14ac:dyDescent="0.25">
      <c r="A141" t="s">
        <v>66</v>
      </c>
      <c r="B141" t="s">
        <v>60</v>
      </c>
      <c r="H141">
        <v>1972.61</v>
      </c>
    </row>
  </sheetData>
  <autoFilter ref="A1:L113" xr:uid="{6B372052-B289-4F18-9F63-B02ECE01D13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 2A</vt:lpstr>
      <vt:lpstr>Fig 2B</vt:lpstr>
      <vt:lpstr>Fig 3A</vt:lpstr>
      <vt:lpstr>Fig 3B</vt:lpstr>
      <vt:lpstr>Fig 4A</vt:lpstr>
      <vt:lpstr>Fig 4B</vt:lpstr>
      <vt:lpstr>Fig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Frilingou</dc:creator>
  <cp:lastModifiedBy>Natasha Frilingou</cp:lastModifiedBy>
  <dcterms:created xsi:type="dcterms:W3CDTF">2025-09-24T08:28:14Z</dcterms:created>
  <dcterms:modified xsi:type="dcterms:W3CDTF">2025-12-01T12:13:09Z</dcterms:modified>
</cp:coreProperties>
</file>